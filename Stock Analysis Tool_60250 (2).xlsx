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iddaganga 2\Downloads\"/>
    </mc:Choice>
  </mc:AlternateContent>
  <xr:revisionPtr revIDLastSave="0" documentId="13_ncr:1_{BA91BBC5-3621-4C00-BC5B-E5FBE5473345}" xr6:coauthVersionLast="47" xr6:coauthVersionMax="47" xr10:uidLastSave="{00000000-0000-0000-0000-000000000000}"/>
  <bookViews>
    <workbookView xWindow="-108" yWindow="-108" windowWidth="23256" windowHeight="12456" firstSheet="4" activeTab="7" xr2:uid="{B7D98F0C-A801-4EED-92C0-D5C78F7E31B7}"/>
  </bookViews>
  <sheets>
    <sheet name="INFO" sheetId="2" r:id="rId1"/>
    <sheet name="CHARTS" sheetId="5" r:id="rId2"/>
    <sheet name="FS" sheetId="6" r:id="rId3"/>
    <sheet name="DCF" sheetId="1" r:id="rId4"/>
    <sheet name="RATIOS" sheetId="7" r:id="rId5"/>
    <sheet name="Data" sheetId="4" r:id="rId6"/>
    <sheet name="AAPL - Income Statement FY" sheetId="8" r:id="rId7"/>
    <sheet name="AAPL - Balance Sheet FY" sheetId="9" r:id="rId8"/>
    <sheet name="AAPL - Cash Flow FY" sheetId="10" r:id="rId9"/>
    <sheet name="AAPL - Key Metrics FY" sheetId="11" r:id="rId10"/>
    <sheet name="AAPL - Financial Growth FY"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2" l="1"/>
  <c r="B3" i="11"/>
  <c r="B3" i="10"/>
  <c r="B3" i="9"/>
  <c r="H26" i="7" a="1"/>
  <c r="H26" i="7" s="1"/>
  <c r="F26" i="7" a="1"/>
  <c r="F26" i="7" s="1"/>
  <c r="H25" i="7" a="1"/>
  <c r="H25" i="7" s="1"/>
  <c r="F25" i="7" a="1"/>
  <c r="F25" i="7" s="1"/>
  <c r="H24" i="7" a="1"/>
  <c r="H24" i="7" s="1"/>
  <c r="F24" i="7" a="1"/>
  <c r="F24" i="7" s="1"/>
  <c r="H23" i="7" a="1"/>
  <c r="H23" i="7" s="1"/>
  <c r="F23" i="7" a="1"/>
  <c r="F23" i="7" s="1"/>
  <c r="H22" i="7" a="1"/>
  <c r="H22" i="7" s="1"/>
  <c r="F22" i="7" a="1"/>
  <c r="F22" i="7" s="1"/>
  <c r="H19" i="7" a="1"/>
  <c r="H19" i="7" s="1"/>
  <c r="F19" i="7" a="1"/>
  <c r="F19" i="7" s="1"/>
  <c r="H16" i="7" a="1"/>
  <c r="H16" i="7" s="1"/>
  <c r="F16" i="7" a="1"/>
  <c r="F16" i="7" s="1"/>
  <c r="H15" i="7" a="1"/>
  <c r="H15" i="7" s="1"/>
  <c r="F15" i="7" a="1"/>
  <c r="F15" i="7" s="1"/>
  <c r="H14" i="7" a="1"/>
  <c r="H14" i="7" s="1"/>
  <c r="F14" i="7" a="1"/>
  <c r="F14" i="7" s="1"/>
  <c r="H13" i="7" a="1"/>
  <c r="H13" i="7" s="1"/>
  <c r="F13" i="7" a="1"/>
  <c r="F13" i="7" s="1"/>
  <c r="H12" i="7" a="1"/>
  <c r="H12" i="7" s="1"/>
  <c r="F12" i="7" a="1"/>
  <c r="F12" i="7" s="1"/>
  <c r="H9" i="7" a="1"/>
  <c r="H9" i="7" s="1"/>
  <c r="F9" i="7" a="1"/>
  <c r="F9" i="7" s="1"/>
  <c r="H8" i="7" a="1"/>
  <c r="H8" i="7" s="1"/>
  <c r="F8" i="7" a="1"/>
  <c r="F8" i="7" s="1"/>
  <c r="H7" i="7" a="1"/>
  <c r="H7" i="7" s="1"/>
  <c r="F7" i="7" a="1"/>
  <c r="F7" i="7" s="1"/>
  <c r="H6" i="7" a="1"/>
  <c r="H6" i="7" s="1"/>
  <c r="F6" i="7" a="1"/>
  <c r="F6" i="7" s="1"/>
  <c r="H5" i="7" a="1"/>
  <c r="H5" i="7" s="1"/>
  <c r="F5" i="7" a="1"/>
  <c r="F5" i="7" s="1"/>
  <c r="F39" i="1" a="1"/>
  <c r="F39" i="1" s="1"/>
  <c r="F36" i="1" a="1"/>
  <c r="F36" i="1" s="1"/>
  <c r="F32" i="1" a="1"/>
  <c r="F32" i="1" s="1"/>
  <c r="F27" i="1" a="1"/>
  <c r="F27" i="1" s="1"/>
  <c r="E27" i="1" a="1"/>
  <c r="E27" i="1" s="1"/>
  <c r="S26" i="1" a="1"/>
  <c r="S26" i="1" s="1"/>
  <c r="S25" i="1" a="1"/>
  <c r="S25" i="1" s="1"/>
  <c r="N24" i="1" a="1"/>
  <c r="N24" i="1" s="1"/>
  <c r="M24" i="1" a="1"/>
  <c r="M24" i="1" s="1"/>
  <c r="F24" i="1" a="1"/>
  <c r="F24" i="1" s="1"/>
  <c r="E24" i="1" a="1"/>
  <c r="E24" i="1" s="1"/>
  <c r="Y23" i="1" a="1"/>
  <c r="Y23" i="1" s="1"/>
  <c r="V23" i="1" a="1"/>
  <c r="V23" i="1" s="1"/>
  <c r="S23" i="1" a="1"/>
  <c r="S23" i="1" s="1"/>
  <c r="S22" i="1" a="1"/>
  <c r="S22" i="1" s="1"/>
  <c r="N21" i="1" a="1"/>
  <c r="N21" i="1" s="1"/>
  <c r="M21" i="1" a="1"/>
  <c r="M21" i="1" s="1"/>
  <c r="E21" i="1" a="1"/>
  <c r="E21" i="1" s="1"/>
  <c r="I17" i="1" a="1"/>
  <c r="I17" i="1" s="1"/>
  <c r="Y14" i="1" a="1"/>
  <c r="Y14" i="1" s="1"/>
  <c r="W14" i="1" a="1"/>
  <c r="W14" i="1" s="1"/>
  <c r="U14" i="1" a="1"/>
  <c r="U14" i="1" s="1"/>
  <c r="S14" i="1" a="1"/>
  <c r="S14" i="1" s="1"/>
  <c r="Y13" i="1" a="1"/>
  <c r="Y13" i="1" s="1"/>
  <c r="W13" i="1" a="1"/>
  <c r="W13" i="1" s="1"/>
  <c r="U13" i="1" a="1"/>
  <c r="U13" i="1" s="1"/>
  <c r="S13" i="1" a="1"/>
  <c r="S13" i="1" s="1"/>
  <c r="G2" i="1" a="1"/>
  <c r="G2" i="1" s="1"/>
  <c r="F21" i="1" a="1"/>
  <c r="F21" i="1" s="1"/>
  <c r="G112" i="6" a="1"/>
  <c r="G112" i="6" s="1"/>
  <c r="G105" i="6" a="1"/>
  <c r="G105" i="6" s="1"/>
  <c r="G98" i="6" a="1"/>
  <c r="G98" i="6" s="1"/>
  <c r="G86" i="6" a="1"/>
  <c r="G86" i="6" s="1"/>
  <c r="G79" i="6" a="1"/>
  <c r="G79" i="6" s="1"/>
  <c r="G73" i="6" a="1"/>
  <c r="G73" i="6" s="1"/>
  <c r="G70" i="6" a="1"/>
  <c r="G70" i="6" s="1"/>
  <c r="G64" i="6" a="1"/>
  <c r="G64" i="6" s="1"/>
  <c r="G57" i="6" a="1"/>
  <c r="G57" i="6" s="1"/>
  <c r="G54" i="6" a="1"/>
  <c r="G54" i="6" s="1"/>
  <c r="G46" i="6" a="1"/>
  <c r="G46" i="6" s="1"/>
  <c r="G38" i="6" a="1"/>
  <c r="G38" i="6" s="1"/>
  <c r="G33" i="6" a="1"/>
  <c r="G33" i="6" s="1"/>
  <c r="G30" i="6" a="1"/>
  <c r="G30" i="6" s="1"/>
  <c r="G27" i="6" a="1"/>
  <c r="G27" i="6" s="1"/>
  <c r="G26" i="6" a="1"/>
  <c r="G26" i="6" s="1"/>
  <c r="G24" i="6" a="1"/>
  <c r="G24" i="6" s="1"/>
  <c r="G22" i="6" a="1"/>
  <c r="G22" i="6" s="1"/>
  <c r="AW20" i="6" a="1"/>
  <c r="AW20" i="6" s="1"/>
  <c r="G19" i="6" a="1"/>
  <c r="G19" i="6" s="1"/>
  <c r="G18" i="6" a="1"/>
  <c r="G18" i="6" s="1"/>
  <c r="G16" i="6" a="1"/>
  <c r="G16" i="6" s="1"/>
  <c r="G11" i="6" a="1"/>
  <c r="G11" i="6" s="1"/>
  <c r="G9" i="6" a="1"/>
  <c r="G9" i="6" s="1"/>
  <c r="AW5" i="6" a="1"/>
  <c r="AW5" i="6" s="1"/>
  <c r="U5" i="6" a="1"/>
  <c r="U5" i="6" s="1"/>
  <c r="G6" i="6" a="1"/>
  <c r="G6" i="6" s="1"/>
  <c r="AI5" i="6" a="1"/>
  <c r="AI5" i="6" s="1"/>
  <c r="G45" i="2" a="1"/>
  <c r="G45" i="2" s="1"/>
  <c r="AD37" i="2" a="1"/>
  <c r="AD37" i="2" s="1"/>
  <c r="G36" i="2" a="1"/>
  <c r="G36" i="2" s="1"/>
  <c r="Y35" i="2" a="1"/>
  <c r="Y35" i="2" s="1"/>
  <c r="X35" i="2" a="1"/>
  <c r="X35" i="2" s="1"/>
  <c r="W35" i="2" a="1"/>
  <c r="W35" i="2" s="1"/>
  <c r="V35" i="2" a="1"/>
  <c r="V35" i="2" s="1"/>
  <c r="U35" i="2" a="1"/>
  <c r="U35" i="2" s="1"/>
  <c r="T35" i="2" a="1"/>
  <c r="T35" i="2" s="1"/>
  <c r="S35" i="2" a="1"/>
  <c r="S35" i="2" s="1"/>
  <c r="R35" i="2" a="1"/>
  <c r="R35" i="2" s="1"/>
  <c r="Q35" i="2" a="1"/>
  <c r="Q35" i="2" s="1"/>
  <c r="P35" i="2" a="1"/>
  <c r="P35" i="2" s="1"/>
  <c r="O35" i="2" a="1"/>
  <c r="O35" i="2" s="1"/>
  <c r="N35" i="2" a="1"/>
  <c r="N35" i="2" s="1"/>
  <c r="M35" i="2" a="1"/>
  <c r="M35" i="2" s="1"/>
  <c r="L35" i="2" a="1"/>
  <c r="L35" i="2" s="1"/>
  <c r="K35" i="2" a="1"/>
  <c r="K35" i="2" s="1"/>
  <c r="J35" i="2" a="1"/>
  <c r="J35" i="2" s="1"/>
  <c r="I35" i="2" a="1"/>
  <c r="I35" i="2" s="1"/>
  <c r="H35" i="2" a="1"/>
  <c r="H35" i="2" s="1"/>
  <c r="G35" i="2" a="1"/>
  <c r="G35" i="2" s="1"/>
  <c r="G27" i="2" a="1"/>
  <c r="G27" i="2" s="1"/>
  <c r="AD23" i="2" a="1"/>
  <c r="AD23" i="2" s="1"/>
  <c r="AE22" i="2" a="1"/>
  <c r="AE22" i="2" s="1"/>
  <c r="AD22" i="2" a="1"/>
  <c r="AD22" i="2" s="1"/>
  <c r="AD21" i="2" a="1"/>
  <c r="AD21" i="2" s="1"/>
  <c r="G21" i="2" a="1"/>
  <c r="G21" i="2" s="1"/>
  <c r="G20" i="2" a="1"/>
  <c r="G20" i="2" s="1"/>
  <c r="AD18" i="2" a="1"/>
  <c r="AD18" i="2" s="1"/>
  <c r="AD17" i="2" a="1"/>
  <c r="AD17" i="2" s="1"/>
  <c r="G17" i="2" a="1"/>
  <c r="G17" i="2" s="1"/>
  <c r="AD16" i="2" a="1"/>
  <c r="AD16" i="2" s="1"/>
  <c r="AD15" i="2" a="1"/>
  <c r="AD15" i="2" s="1"/>
  <c r="E5" i="2" a="1"/>
  <c r="E5" i="2" s="1"/>
  <c r="E4" i="2" a="1"/>
  <c r="E4" i="2" s="1"/>
  <c r="I3" i="2" a="1"/>
  <c r="I3" i="2" s="1"/>
  <c r="E3" i="2" a="1"/>
  <c r="E3" i="2" s="1"/>
  <c r="G14" i="2" a="1"/>
  <c r="G14" i="2" s="1"/>
  <c r="M46" i="2" l="1"/>
  <c r="U46" i="2"/>
  <c r="N46" i="2"/>
  <c r="V46" i="2"/>
  <c r="P46" i="2"/>
  <c r="X46" i="2"/>
  <c r="L46" i="2"/>
  <c r="T46" i="2"/>
  <c r="O44" i="2"/>
  <c r="W44" i="2"/>
  <c r="P44" i="2"/>
  <c r="X44" i="2"/>
  <c r="I44" i="2"/>
  <c r="Q44" i="2"/>
  <c r="Y44" i="2"/>
  <c r="J44" i="2"/>
  <c r="R44" i="2"/>
  <c r="H44" i="2"/>
  <c r="L44" i="2"/>
  <c r="T44" i="2"/>
  <c r="K44" i="2"/>
  <c r="S44" i="2"/>
  <c r="M44" i="2"/>
  <c r="U44" i="2"/>
  <c r="N44" i="2"/>
  <c r="V44" i="2"/>
  <c r="S46" i="2"/>
  <c r="K46" i="2"/>
  <c r="H46" i="2"/>
  <c r="R46" i="2"/>
  <c r="J46" i="2"/>
  <c r="Y46" i="2"/>
  <c r="Q46" i="2"/>
  <c r="I46" i="2"/>
  <c r="W46" i="2"/>
  <c r="O46" i="2"/>
  <c r="J43" i="1"/>
  <c r="L43" i="1"/>
  <c r="M30" i="1"/>
  <c r="M43" i="1"/>
  <c r="N43" i="1" s="1"/>
  <c r="O43" i="1" s="1"/>
  <c r="P43" i="1" s="1"/>
  <c r="Q43" i="1" s="1"/>
  <c r="R43" i="1" s="1"/>
  <c r="S43" i="1" s="1"/>
  <c r="L30" i="1"/>
  <c r="I19" i="1"/>
  <c r="H19" i="1" s="1"/>
  <c r="G19" i="1" s="1"/>
  <c r="F19" i="1" s="1"/>
  <c r="F30" i="1" s="1"/>
  <c r="J19" i="1"/>
  <c r="J30" i="1" s="1"/>
  <c r="K19" i="1"/>
  <c r="K43" i="1" s="1"/>
  <c r="M19" i="1"/>
  <c r="N19" i="1" s="1"/>
  <c r="N30" i="1" s="1"/>
  <c r="I43" i="1" l="1"/>
  <c r="I30" i="1"/>
  <c r="F43" i="1"/>
  <c r="H30" i="1"/>
  <c r="K30" i="1"/>
  <c r="G30" i="1"/>
  <c r="H43" i="1"/>
  <c r="G43" i="1"/>
  <c r="G16" i="2"/>
  <c r="AW4" i="6"/>
  <c r="AB4" i="6"/>
  <c r="AP4" i="6" s="1"/>
  <c r="N84" i="6"/>
  <c r="N36" i="6"/>
  <c r="M4" i="6"/>
  <c r="AA4" i="6" s="1"/>
  <c r="AO4" i="6" s="1"/>
  <c r="AD36" i="2"/>
  <c r="AD14" i="2"/>
  <c r="X13" i="2"/>
  <c r="W13" i="2" s="1"/>
  <c r="B2" i="4"/>
  <c r="B5" i="4" s="1" a="1"/>
  <c r="B5" i="4" s="1"/>
  <c r="L4" i="6" l="1"/>
  <c r="M36" i="6"/>
  <c r="M84" i="6"/>
  <c r="V13" i="2"/>
  <c r="U13" i="2" s="1"/>
  <c r="AE43" i="2"/>
  <c r="AE46" i="2"/>
  <c r="AE42" i="2"/>
  <c r="AD43" i="2"/>
  <c r="AD46" i="2"/>
  <c r="AD42" i="2"/>
  <c r="AD28" i="2"/>
  <c r="AE31" i="2"/>
  <c r="AE30" i="2"/>
  <c r="AE29" i="2"/>
  <c r="AD32" i="2"/>
  <c r="AD31" i="2"/>
  <c r="AD30" i="2"/>
  <c r="AE28" i="2"/>
  <c r="AE32" i="2"/>
  <c r="AD29" i="2"/>
  <c r="K4" i="6" l="1"/>
  <c r="Z4" i="6"/>
  <c r="AN4" i="6" s="1"/>
  <c r="L84" i="6"/>
  <c r="L36" i="6"/>
  <c r="T13" i="2"/>
  <c r="Y4" i="6" l="1"/>
  <c r="AM4" i="6" s="1"/>
  <c r="K84" i="6"/>
  <c r="K36" i="6"/>
  <c r="J4" i="6"/>
  <c r="S13" i="2"/>
  <c r="AD45" i="2"/>
  <c r="AE45" i="2"/>
  <c r="X4" i="6" l="1"/>
  <c r="AL4" i="6" s="1"/>
  <c r="J84" i="6"/>
  <c r="J36" i="6"/>
  <c r="I4" i="6"/>
  <c r="T26" i="2"/>
  <c r="T23" i="2"/>
  <c r="R13" i="2"/>
  <c r="T22" i="2"/>
  <c r="T25" i="2"/>
  <c r="U26" i="2"/>
  <c r="X24" i="2"/>
  <c r="W26" i="2"/>
  <c r="Y34" i="2"/>
  <c r="X31" i="2"/>
  <c r="W33" i="2"/>
  <c r="V34" i="2"/>
  <c r="U32" i="2"/>
  <c r="T34" i="2"/>
  <c r="U33" i="2"/>
  <c r="W34" i="2"/>
  <c r="V31" i="2"/>
  <c r="U34" i="2"/>
  <c r="X32" i="2"/>
  <c r="T32" i="2"/>
  <c r="V33" i="2"/>
  <c r="X34" i="2"/>
  <c r="T33" i="2"/>
  <c r="Y31" i="2"/>
  <c r="T31" i="2"/>
  <c r="V32" i="2"/>
  <c r="X33" i="2"/>
  <c r="W31" i="2"/>
  <c r="Y32" i="2"/>
  <c r="U31" i="2"/>
  <c r="W32" i="2"/>
  <c r="Y33" i="2"/>
  <c r="U25" i="2"/>
  <c r="U22" i="2"/>
  <c r="X23" i="2"/>
  <c r="V23" i="2"/>
  <c r="V24" i="2"/>
  <c r="W25" i="2"/>
  <c r="X25" i="2"/>
  <c r="X22" i="2"/>
  <c r="V22" i="2"/>
  <c r="V25" i="2"/>
  <c r="W16" i="2"/>
  <c r="U23" i="2"/>
  <c r="W19" i="2"/>
  <c r="U19" i="2"/>
  <c r="X26" i="2"/>
  <c r="V26" i="2"/>
  <c r="W22" i="2"/>
  <c r="W23" i="2"/>
  <c r="W24" i="2"/>
  <c r="U24" i="2"/>
  <c r="V16" i="2"/>
  <c r="V19" i="2"/>
  <c r="Y19" i="2"/>
  <c r="X19" i="2"/>
  <c r="Y16" i="2"/>
  <c r="X16" i="2"/>
  <c r="T16" i="2"/>
  <c r="T19" i="2"/>
  <c r="U16" i="2"/>
  <c r="T32" i="1"/>
  <c r="S32" i="1"/>
  <c r="R32" i="1"/>
  <c r="Q32" i="1"/>
  <c r="Y16" i="1"/>
  <c r="W16" i="1"/>
  <c r="U16" i="1"/>
  <c r="W4" i="6" l="1"/>
  <c r="AK4" i="6" s="1"/>
  <c r="I84" i="6"/>
  <c r="I36" i="6"/>
  <c r="H4" i="6"/>
  <c r="S34" i="2"/>
  <c r="S33" i="2"/>
  <c r="T24" i="2"/>
  <c r="S31" i="2"/>
  <c r="S19" i="2"/>
  <c r="S32" i="2"/>
  <c r="S16" i="2"/>
  <c r="Q13" i="2"/>
  <c r="S26" i="2"/>
  <c r="S23" i="2"/>
  <c r="S24" i="2"/>
  <c r="S22" i="2"/>
  <c r="S25" i="2"/>
  <c r="S16" i="1"/>
  <c r="Y22" i="1"/>
  <c r="I13" i="1"/>
  <c r="D17" i="1" s="1"/>
  <c r="M13" i="1"/>
  <c r="V24" i="1"/>
  <c r="I15" i="1"/>
  <c r="V22" i="1" s="1"/>
  <c r="V4" i="6" l="1"/>
  <c r="AJ4" i="6" s="1"/>
  <c r="H84" i="6"/>
  <c r="H36" i="6"/>
  <c r="G4" i="6"/>
  <c r="R34" i="2"/>
  <c r="R33" i="2"/>
  <c r="R19" i="2"/>
  <c r="R32" i="2"/>
  <c r="R25" i="2"/>
  <c r="P13" i="2"/>
  <c r="R26" i="2"/>
  <c r="R24" i="2"/>
  <c r="R22" i="2"/>
  <c r="R23" i="2"/>
  <c r="R31" i="2"/>
  <c r="R16" i="2"/>
  <c r="Q34" i="1"/>
  <c r="R34" i="1" s="1"/>
  <c r="S34" i="1" s="1"/>
  <c r="T34" i="1" s="1"/>
  <c r="V25" i="1"/>
  <c r="S27" i="1"/>
  <c r="Y24" i="1"/>
  <c r="Z22" i="1" s="1"/>
  <c r="S24" i="1"/>
  <c r="M11" i="1"/>
  <c r="S81" i="1" s="1"/>
  <c r="I11" i="1"/>
  <c r="S79" i="1" s="1"/>
  <c r="S80" i="1"/>
  <c r="S78" i="1"/>
  <c r="M7" i="1"/>
  <c r="S49" i="1" s="1"/>
  <c r="I7" i="1"/>
  <c r="S47" i="1" s="1"/>
  <c r="S48" i="1"/>
  <c r="G83" i="1"/>
  <c r="H83" i="1"/>
  <c r="I83" i="1"/>
  <c r="J83" i="1"/>
  <c r="K83" i="1"/>
  <c r="L83" i="1"/>
  <c r="F83" i="1"/>
  <c r="G77" i="1"/>
  <c r="H77" i="1"/>
  <c r="I77" i="1"/>
  <c r="J77" i="1"/>
  <c r="K77" i="1"/>
  <c r="L77" i="1"/>
  <c r="F77" i="1"/>
  <c r="G71" i="1"/>
  <c r="H71" i="1"/>
  <c r="I71" i="1"/>
  <c r="K71" i="1"/>
  <c r="L71" i="1"/>
  <c r="F71" i="1"/>
  <c r="G60" i="1"/>
  <c r="H60" i="1"/>
  <c r="I60" i="1"/>
  <c r="J60" i="1"/>
  <c r="K60" i="1"/>
  <c r="L60" i="1"/>
  <c r="F60" i="1"/>
  <c r="G54" i="1"/>
  <c r="H54" i="1"/>
  <c r="I54" i="1"/>
  <c r="J54" i="1"/>
  <c r="K54" i="1"/>
  <c r="L54" i="1"/>
  <c r="F54" i="1"/>
  <c r="H45" i="1"/>
  <c r="J45" i="1"/>
  <c r="F45" i="1"/>
  <c r="U4" i="6" l="1"/>
  <c r="AI4" i="6" s="1"/>
  <c r="G84" i="6"/>
  <c r="G36" i="6"/>
  <c r="Q34" i="2"/>
  <c r="Q32" i="2"/>
  <c r="Q19" i="2"/>
  <c r="Q33" i="2"/>
  <c r="Q16" i="2"/>
  <c r="Q31" i="2"/>
  <c r="O13" i="2"/>
  <c r="Q24" i="2"/>
  <c r="Q22" i="2"/>
  <c r="Q23" i="2"/>
  <c r="Q26" i="2"/>
  <c r="S46" i="1"/>
  <c r="S28" i="1"/>
  <c r="Z23" i="1"/>
  <c r="Z27" i="1" s="1"/>
  <c r="K12" i="1" s="1"/>
  <c r="D16" i="1" s="1"/>
  <c r="I22" i="1"/>
  <c r="I46" i="1" s="1"/>
  <c r="M22" i="1"/>
  <c r="I6" i="1" s="1"/>
  <c r="M47" i="1" s="1"/>
  <c r="J34" i="1"/>
  <c r="J71" i="1"/>
  <c r="L34" i="1"/>
  <c r="K33" i="1"/>
  <c r="K72" i="1" s="1"/>
  <c r="G22" i="1"/>
  <c r="G46" i="1" s="1"/>
  <c r="K37" i="1"/>
  <c r="K78" i="1" s="1"/>
  <c r="G34" i="1"/>
  <c r="L33" i="1"/>
  <c r="L72" i="1" s="1"/>
  <c r="H37" i="1"/>
  <c r="H78" i="1" s="1"/>
  <c r="N22" i="1"/>
  <c r="N48" i="1" s="1"/>
  <c r="O48" i="1" s="1"/>
  <c r="F40" i="1"/>
  <c r="F84" i="1" s="1"/>
  <c r="L41" i="1"/>
  <c r="F33" i="1"/>
  <c r="F72" i="1" s="1"/>
  <c r="K41" i="1"/>
  <c r="G37" i="1"/>
  <c r="G78" i="1" s="1"/>
  <c r="J41" i="1"/>
  <c r="I41" i="1"/>
  <c r="H41" i="1"/>
  <c r="I33" i="1"/>
  <c r="I72" i="1" s="1"/>
  <c r="G41" i="1"/>
  <c r="K22" i="1"/>
  <c r="K46" i="1" s="1"/>
  <c r="H34" i="1"/>
  <c r="F37" i="1"/>
  <c r="F78" i="1" s="1"/>
  <c r="L37" i="1"/>
  <c r="L78" i="1" s="1"/>
  <c r="I37" i="1"/>
  <c r="I78" i="1" s="1"/>
  <c r="J37" i="1"/>
  <c r="N25" i="1"/>
  <c r="N57" i="1" s="1"/>
  <c r="J33" i="1"/>
  <c r="J72" i="1" s="1"/>
  <c r="M25" i="1"/>
  <c r="H33" i="1"/>
  <c r="H72" i="1" s="1"/>
  <c r="L40" i="1"/>
  <c r="L84" i="1" s="1"/>
  <c r="G33" i="1"/>
  <c r="G72" i="1" s="1"/>
  <c r="K40" i="1"/>
  <c r="K84" i="1" s="1"/>
  <c r="G45" i="1"/>
  <c r="J40" i="1"/>
  <c r="I40" i="1"/>
  <c r="I84" i="1" s="1"/>
  <c r="H40" i="1"/>
  <c r="H84" i="1" s="1"/>
  <c r="G40" i="1"/>
  <c r="G84" i="1" s="1"/>
  <c r="F34" i="1"/>
  <c r="K34" i="1"/>
  <c r="L25" i="1"/>
  <c r="L55" i="1" s="1"/>
  <c r="I34" i="1"/>
  <c r="K25" i="1"/>
  <c r="K55" i="1" s="1"/>
  <c r="L45" i="1"/>
  <c r="I25" i="1"/>
  <c r="I55" i="1" s="1"/>
  <c r="K45" i="1"/>
  <c r="J25" i="1"/>
  <c r="J55" i="1" s="1"/>
  <c r="F28" i="1"/>
  <c r="F61" i="1" s="1"/>
  <c r="I45" i="1"/>
  <c r="G25" i="1"/>
  <c r="G55" i="1" s="1"/>
  <c r="F22" i="1"/>
  <c r="F46" i="1" s="1"/>
  <c r="J22" i="1"/>
  <c r="J46" i="1" s="1"/>
  <c r="H28" i="1"/>
  <c r="H61" i="1" s="1"/>
  <c r="H22" i="1"/>
  <c r="H46" i="1" s="1"/>
  <c r="H25" i="1"/>
  <c r="H55" i="1" s="1"/>
  <c r="L28" i="1"/>
  <c r="L61" i="1" s="1"/>
  <c r="K28" i="1"/>
  <c r="J28" i="1"/>
  <c r="I28" i="1"/>
  <c r="I61" i="1" s="1"/>
  <c r="G28" i="1"/>
  <c r="G61" i="1" s="1"/>
  <c r="L22" i="1"/>
  <c r="L46" i="1" s="1"/>
  <c r="F25" i="1"/>
  <c r="F55" i="1" s="1"/>
  <c r="Q25" i="2" l="1"/>
  <c r="P34" i="2"/>
  <c r="P33" i="2"/>
  <c r="P16" i="2"/>
  <c r="P31" i="2"/>
  <c r="P32" i="2"/>
  <c r="P19" i="2"/>
  <c r="P24" i="2"/>
  <c r="P22" i="2"/>
  <c r="P26" i="2"/>
  <c r="P23" i="2"/>
  <c r="N13" i="2"/>
  <c r="M28" i="1"/>
  <c r="N28" i="1" s="1"/>
  <c r="M50" i="1"/>
  <c r="O57" i="1"/>
  <c r="O55" i="1" s="1"/>
  <c r="M6" i="1"/>
  <c r="M49" i="1" s="1"/>
  <c r="M52" i="1" s="1"/>
  <c r="M48" i="1"/>
  <c r="M46" i="1" s="1"/>
  <c r="M45" i="1" s="1"/>
  <c r="M12" i="1"/>
  <c r="I12" i="1"/>
  <c r="N49" i="1"/>
  <c r="O49" i="1" s="1"/>
  <c r="P49" i="1" s="1"/>
  <c r="Q49" i="1" s="1"/>
  <c r="R49" i="1" s="1"/>
  <c r="N47" i="1"/>
  <c r="O47" i="1" s="1"/>
  <c r="P47" i="1" s="1"/>
  <c r="Q47" i="1" s="1"/>
  <c r="R47" i="1" s="1"/>
  <c r="M40" i="1"/>
  <c r="M39" i="1" s="1"/>
  <c r="M41" i="1" s="1"/>
  <c r="J84" i="1"/>
  <c r="M84" i="1" s="1"/>
  <c r="M37" i="1"/>
  <c r="M36" i="1" s="1"/>
  <c r="J78" i="1"/>
  <c r="M33" i="1"/>
  <c r="N33" i="1" s="1"/>
  <c r="N55" i="1"/>
  <c r="P48" i="1"/>
  <c r="M57" i="1"/>
  <c r="M8" i="1"/>
  <c r="M58" i="1" s="1"/>
  <c r="I8" i="1"/>
  <c r="M56" i="1" s="1"/>
  <c r="J61" i="1"/>
  <c r="K61" i="1"/>
  <c r="O34" i="2" l="1"/>
  <c r="P25" i="2"/>
  <c r="O24" i="2"/>
  <c r="O22" i="2"/>
  <c r="O25" i="2"/>
  <c r="M13" i="2"/>
  <c r="O26" i="2"/>
  <c r="O23" i="2"/>
  <c r="O33" i="2"/>
  <c r="O31" i="2"/>
  <c r="O19" i="2"/>
  <c r="O32" i="2"/>
  <c r="O16" i="2"/>
  <c r="P57" i="1"/>
  <c r="Q57" i="1" s="1"/>
  <c r="Q55" i="1" s="1"/>
  <c r="M87" i="1"/>
  <c r="M85" i="1"/>
  <c r="N52" i="1"/>
  <c r="O52" i="1" s="1"/>
  <c r="P52" i="1" s="1"/>
  <c r="Q52" i="1" s="1"/>
  <c r="R52" i="1" s="1"/>
  <c r="S52" i="1" s="1"/>
  <c r="M51" i="1"/>
  <c r="N51" i="1" s="1"/>
  <c r="N50" i="1"/>
  <c r="O50" i="1" s="1"/>
  <c r="P50" i="1" s="1"/>
  <c r="Q50" i="1" s="1"/>
  <c r="R50" i="1" s="1"/>
  <c r="S50" i="1" s="1"/>
  <c r="N46" i="1"/>
  <c r="N45" i="1" s="1"/>
  <c r="N56" i="1"/>
  <c r="N58" i="1"/>
  <c r="M55" i="1"/>
  <c r="M54" i="1" s="1"/>
  <c r="O46" i="1"/>
  <c r="N40" i="1"/>
  <c r="N39" i="1" s="1"/>
  <c r="N41" i="1" s="1"/>
  <c r="M83" i="1"/>
  <c r="N84" i="1"/>
  <c r="N32" i="1"/>
  <c r="N74" i="1"/>
  <c r="M32" i="1"/>
  <c r="M34" i="1" s="1"/>
  <c r="M10" i="1"/>
  <c r="M75" i="1" s="1"/>
  <c r="N75" i="1" s="1"/>
  <c r="O75" i="1" s="1"/>
  <c r="P75" i="1" s="1"/>
  <c r="Q75" i="1" s="1"/>
  <c r="R75" i="1" s="1"/>
  <c r="S75" i="1" s="1"/>
  <c r="I10" i="1"/>
  <c r="M73" i="1" s="1"/>
  <c r="N73" i="1" s="1"/>
  <c r="O73" i="1" s="1"/>
  <c r="P73" i="1" s="1"/>
  <c r="Q73" i="1" s="1"/>
  <c r="R73" i="1" s="1"/>
  <c r="S73" i="1" s="1"/>
  <c r="M74" i="1"/>
  <c r="M72" i="1" s="1"/>
  <c r="M71" i="1" s="1"/>
  <c r="N37" i="1"/>
  <c r="M80" i="1"/>
  <c r="I9" i="1"/>
  <c r="O62" i="1" s="1"/>
  <c r="P62" i="1" s="1"/>
  <c r="Q62" i="1" s="1"/>
  <c r="R62" i="1" s="1"/>
  <c r="S62" i="1" s="1"/>
  <c r="M9" i="1"/>
  <c r="O64" i="1" s="1"/>
  <c r="P64" i="1" s="1"/>
  <c r="Q64" i="1" s="1"/>
  <c r="R64" i="1" s="1"/>
  <c r="S64" i="1" s="1"/>
  <c r="M63" i="1"/>
  <c r="M27" i="1"/>
  <c r="Q48" i="1"/>
  <c r="P46" i="1"/>
  <c r="N63" i="1"/>
  <c r="N27" i="1"/>
  <c r="P55" i="1" l="1"/>
  <c r="N34" i="2"/>
  <c r="N33" i="2"/>
  <c r="N22" i="2"/>
  <c r="N24" i="2"/>
  <c r="N25" i="2"/>
  <c r="L13" i="2"/>
  <c r="N26" i="2"/>
  <c r="N23" i="2"/>
  <c r="N32" i="2"/>
  <c r="N19" i="2"/>
  <c r="N16" i="2"/>
  <c r="N31" i="2"/>
  <c r="M86" i="1"/>
  <c r="N87" i="1"/>
  <c r="N85" i="1"/>
  <c r="N86" i="1"/>
  <c r="O51" i="1"/>
  <c r="N68" i="1"/>
  <c r="M68" i="1"/>
  <c r="O58" i="1"/>
  <c r="O56" i="1"/>
  <c r="R57" i="1"/>
  <c r="R55" i="1" s="1"/>
  <c r="O84" i="1"/>
  <c r="N83" i="1"/>
  <c r="M81" i="1"/>
  <c r="M79" i="1"/>
  <c r="M78" i="1" s="1"/>
  <c r="M77" i="1" s="1"/>
  <c r="N36" i="1"/>
  <c r="N34" i="1" s="1"/>
  <c r="N80" i="1"/>
  <c r="O74" i="1"/>
  <c r="N72" i="1"/>
  <c r="N71" i="1" s="1"/>
  <c r="R48" i="1"/>
  <c r="R46" i="1" s="1"/>
  <c r="Q46" i="1"/>
  <c r="M61" i="1"/>
  <c r="M64" i="1"/>
  <c r="M69" i="1" s="1"/>
  <c r="M62" i="1"/>
  <c r="M67" i="1" s="1"/>
  <c r="O45" i="1"/>
  <c r="N54" i="1"/>
  <c r="N61" i="1"/>
  <c r="N62" i="1"/>
  <c r="N67" i="1" s="1"/>
  <c r="N64" i="1"/>
  <c r="N69" i="1" s="1"/>
  <c r="O63" i="1"/>
  <c r="M34" i="2" l="1"/>
  <c r="M31" i="2"/>
  <c r="M16" i="2"/>
  <c r="M26" i="2"/>
  <c r="M23" i="2"/>
  <c r="M22" i="2"/>
  <c r="K13" i="2"/>
  <c r="M24" i="2"/>
  <c r="M32" i="2"/>
  <c r="M19" i="2"/>
  <c r="M33" i="2"/>
  <c r="N91" i="1"/>
  <c r="N97" i="1" s="1"/>
  <c r="M90" i="1"/>
  <c r="M96" i="1" s="1"/>
  <c r="M92" i="1"/>
  <c r="M98" i="1" s="1"/>
  <c r="P84" i="1"/>
  <c r="Q84" i="1" s="1"/>
  <c r="O87" i="1"/>
  <c r="O85" i="1"/>
  <c r="O86" i="1"/>
  <c r="M91" i="1"/>
  <c r="M97" i="1" s="1"/>
  <c r="P51" i="1"/>
  <c r="O68" i="1"/>
  <c r="S57" i="1"/>
  <c r="P56" i="1"/>
  <c r="O67" i="1"/>
  <c r="P58" i="1"/>
  <c r="O69" i="1"/>
  <c r="O83" i="1"/>
  <c r="P74" i="1"/>
  <c r="O72" i="1"/>
  <c r="O71" i="1" s="1"/>
  <c r="O80" i="1"/>
  <c r="N81" i="1"/>
  <c r="O81" i="1" s="1"/>
  <c r="P81" i="1" s="1"/>
  <c r="Q81" i="1" s="1"/>
  <c r="R81" i="1" s="1"/>
  <c r="N79" i="1"/>
  <c r="O79" i="1" s="1"/>
  <c r="P79" i="1" s="1"/>
  <c r="Q79" i="1" s="1"/>
  <c r="R79" i="1" s="1"/>
  <c r="N60" i="1"/>
  <c r="N66" i="1" s="1"/>
  <c r="M60" i="1"/>
  <c r="M66" i="1" s="1"/>
  <c r="M89" i="1" s="1"/>
  <c r="O54" i="1"/>
  <c r="P45" i="1"/>
  <c r="O61" i="1"/>
  <c r="P63" i="1"/>
  <c r="L34" i="2" l="1"/>
  <c r="M25" i="2"/>
  <c r="L33" i="2"/>
  <c r="L26" i="2"/>
  <c r="L23" i="2"/>
  <c r="L24" i="2"/>
  <c r="J13" i="2"/>
  <c r="L22" i="2"/>
  <c r="L19" i="2"/>
  <c r="L32" i="2"/>
  <c r="L31" i="2"/>
  <c r="L16" i="2"/>
  <c r="O91" i="1"/>
  <c r="O97" i="1" s="1"/>
  <c r="N78" i="1"/>
  <c r="N77" i="1" s="1"/>
  <c r="N89" i="1" s="1"/>
  <c r="O92" i="1"/>
  <c r="O98" i="1" s="1"/>
  <c r="O90" i="1"/>
  <c r="O96" i="1" s="1"/>
  <c r="N92" i="1"/>
  <c r="N98" i="1" s="1"/>
  <c r="N90" i="1"/>
  <c r="N96" i="1" s="1"/>
  <c r="R84" i="1"/>
  <c r="S84" i="1" s="1"/>
  <c r="Q87" i="1"/>
  <c r="Q85" i="1"/>
  <c r="P87" i="1"/>
  <c r="P85" i="1"/>
  <c r="P86" i="1"/>
  <c r="Q51" i="1"/>
  <c r="Q86" i="1" s="1"/>
  <c r="P68" i="1"/>
  <c r="Q58" i="1"/>
  <c r="P69" i="1"/>
  <c r="Q56" i="1"/>
  <c r="P67" i="1"/>
  <c r="S55" i="1"/>
  <c r="M95" i="1"/>
  <c r="P83" i="1"/>
  <c r="P80" i="1"/>
  <c r="O78" i="1"/>
  <c r="O77" i="1" s="1"/>
  <c r="Q74" i="1"/>
  <c r="P72" i="1"/>
  <c r="P71" i="1" s="1"/>
  <c r="O60" i="1"/>
  <c r="O66" i="1" s="1"/>
  <c r="P61" i="1"/>
  <c r="Q63" i="1"/>
  <c r="P54" i="1"/>
  <c r="Q45" i="1"/>
  <c r="P92" i="1" l="1"/>
  <c r="P98" i="1" s="1"/>
  <c r="K34" i="2"/>
  <c r="L25" i="2"/>
  <c r="K31" i="2"/>
  <c r="K33" i="2"/>
  <c r="I13" i="2"/>
  <c r="K26" i="2"/>
  <c r="K23" i="2"/>
  <c r="K24" i="2"/>
  <c r="K22" i="2"/>
  <c r="K19" i="2"/>
  <c r="K32" i="2"/>
  <c r="K16" i="2"/>
  <c r="P91" i="1"/>
  <c r="P97" i="1" s="1"/>
  <c r="P90" i="1"/>
  <c r="P96" i="1" s="1"/>
  <c r="S87" i="1"/>
  <c r="S85" i="1"/>
  <c r="R87" i="1"/>
  <c r="R85" i="1"/>
  <c r="R51" i="1"/>
  <c r="R86" i="1" s="1"/>
  <c r="Q68" i="1"/>
  <c r="R56" i="1"/>
  <c r="Q67" i="1"/>
  <c r="Q90" i="1" s="1"/>
  <c r="R58" i="1"/>
  <c r="Q69" i="1"/>
  <c r="Q92" i="1" s="1"/>
  <c r="N95" i="1"/>
  <c r="Q83" i="1"/>
  <c r="O89" i="1"/>
  <c r="Q72" i="1"/>
  <c r="Q71" i="1" s="1"/>
  <c r="R74" i="1"/>
  <c r="Q80" i="1"/>
  <c r="P78" i="1"/>
  <c r="P77" i="1" s="1"/>
  <c r="P60" i="1"/>
  <c r="P66" i="1" s="1"/>
  <c r="Q54" i="1"/>
  <c r="R45" i="1"/>
  <c r="Q61" i="1"/>
  <c r="R63" i="1"/>
  <c r="J34" i="2" l="1"/>
  <c r="K25" i="2"/>
  <c r="J25" i="2"/>
  <c r="H13" i="2"/>
  <c r="J23" i="2"/>
  <c r="J26" i="2"/>
  <c r="J24" i="2"/>
  <c r="J22" i="2"/>
  <c r="J16" i="2"/>
  <c r="J19" i="2"/>
  <c r="J32" i="2"/>
  <c r="J31" i="2"/>
  <c r="J33" i="2"/>
  <c r="Q91" i="1"/>
  <c r="Q97" i="1" s="1"/>
  <c r="S51" i="1"/>
  <c r="S86" i="1" s="1"/>
  <c r="R68" i="1"/>
  <c r="S58" i="1"/>
  <c r="S69" i="1" s="1"/>
  <c r="S92" i="1" s="1"/>
  <c r="R69" i="1"/>
  <c r="R92" i="1" s="1"/>
  <c r="S56" i="1"/>
  <c r="S67" i="1" s="1"/>
  <c r="S90" i="1" s="1"/>
  <c r="R67" i="1"/>
  <c r="R90" i="1" s="1"/>
  <c r="Q98" i="1"/>
  <c r="Q96" i="1"/>
  <c r="O95" i="1"/>
  <c r="R83" i="1"/>
  <c r="P89" i="1"/>
  <c r="R80" i="1"/>
  <c r="R78" i="1" s="1"/>
  <c r="R77" i="1" s="1"/>
  <c r="Q78" i="1"/>
  <c r="Q77" i="1" s="1"/>
  <c r="R72" i="1"/>
  <c r="R71" i="1" s="1"/>
  <c r="S74" i="1"/>
  <c r="S72" i="1" s="1"/>
  <c r="Q60" i="1"/>
  <c r="Q66" i="1" s="1"/>
  <c r="R61" i="1"/>
  <c r="S63" i="1"/>
  <c r="S61" i="1" s="1"/>
  <c r="S45" i="1"/>
  <c r="R54" i="1"/>
  <c r="I34" i="2" l="1"/>
  <c r="I16" i="2"/>
  <c r="I31" i="2"/>
  <c r="I32" i="2"/>
  <c r="I19" i="2"/>
  <c r="G13" i="2"/>
  <c r="I22" i="2"/>
  <c r="I25" i="2"/>
  <c r="I23" i="2"/>
  <c r="I26" i="2"/>
  <c r="I24" i="2"/>
  <c r="I33" i="2"/>
  <c r="R91" i="1"/>
  <c r="R97" i="1" s="1"/>
  <c r="S68" i="1"/>
  <c r="S91" i="1" s="1"/>
  <c r="R98" i="1"/>
  <c r="R96" i="1"/>
  <c r="P95" i="1"/>
  <c r="Q89" i="1"/>
  <c r="R60" i="1"/>
  <c r="R66" i="1" s="1"/>
  <c r="R89" i="1" s="1"/>
  <c r="S77" i="1"/>
  <c r="S83" i="1"/>
  <c r="S54" i="1"/>
  <c r="S71" i="1"/>
  <c r="H34" i="2" l="1"/>
  <c r="H24" i="2"/>
  <c r="H25" i="2"/>
  <c r="H33" i="2"/>
  <c r="H32" i="2"/>
  <c r="H19" i="2"/>
  <c r="H31" i="2"/>
  <c r="H16" i="2"/>
  <c r="S98" i="1"/>
  <c r="R95" i="1"/>
  <c r="Q95" i="1"/>
  <c r="S60" i="1"/>
  <c r="S66" i="1" s="1"/>
  <c r="S89" i="1" s="1"/>
  <c r="S10" i="1" s="1"/>
  <c r="G33" i="2" l="1"/>
  <c r="G34" i="2"/>
  <c r="H23" i="2"/>
  <c r="H26" i="2"/>
  <c r="G31" i="2"/>
  <c r="H22" i="2"/>
  <c r="G19" i="2"/>
  <c r="G32" i="2"/>
  <c r="Y10" i="1"/>
  <c r="Y12" i="1" s="1"/>
  <c r="W10" i="1"/>
  <c r="Y11" i="1" s="1"/>
  <c r="S97" i="1"/>
  <c r="U10" i="1"/>
  <c r="U11" i="1" s="1"/>
  <c r="S96" i="1"/>
  <c r="S95" i="1"/>
  <c r="W12" i="1" l="1"/>
  <c r="W15" i="1" s="1"/>
  <c r="W17" i="1" s="1"/>
  <c r="W5" i="1" s="1"/>
  <c r="W6" i="1" s="1"/>
  <c r="S12" i="1"/>
  <c r="W11" i="1"/>
  <c r="U12" i="1"/>
  <c r="U15" i="1" s="1"/>
  <c r="U17" i="1" s="1"/>
  <c r="U5" i="1" s="1"/>
  <c r="Y15" i="1"/>
  <c r="Y17" i="1" s="1"/>
  <c r="Y5" i="1" s="1"/>
  <c r="S11" i="1"/>
  <c r="S33" i="1" l="1"/>
  <c r="Y6" i="1"/>
  <c r="T33" i="1"/>
  <c r="U6" i="1"/>
  <c r="R33" i="1"/>
  <c r="S15" i="1"/>
  <c r="S17" i="1" s="1"/>
  <c r="S5" i="1" s="1"/>
  <c r="S6" i="1" l="1"/>
  <c r="Q33" i="1"/>
  <c r="AE33" i="2"/>
  <c r="AD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tc={D25BEC8A-7958-5F47-99A9-0246511B5465}</author>
  </authors>
  <commentList>
    <comment ref="B2" authorId="0" shapeId="0" xr:uid="{D25BEC8A-7958-5F47-99A9-0246511B546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Make sure to use Yahoo Finance ticker system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tc={66B62344-21F6-E244-B869-688D4A5580ED}</author>
    <author>tc={5405E476-B8A2-0D49-94ED-2F7BF571B52C}</author>
    <author>tc={494AAA0C-ACB2-724A-93C0-4855F4A50450}</author>
    <author>tc={BD1197C8-792F-F449-A09A-282D4D605BB7}</author>
    <author>tc={92A245DC-1544-C942-83ED-E32F66212C98}</author>
  </authors>
  <commentList>
    <comment ref="B5" authorId="0" shapeId="0" xr:uid="{66B62344-21F6-E244-B869-688D4A5580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1 = conservative
2 = base case
3= optimistic</t>
        </r>
      </text>
    </comment>
    <comment ref="G12" authorId="1" shapeId="0" xr:uid="{5405E476-B8A2-0D49-94ED-2F7BF571B5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Reflects the rate of return required by an investor. Typically comprises the risk-free rate, stock beta, and market risk premium.
Risk-free rate: Check current yields on 10-year government bonds.
Stock beta: Yahoo Finance or Wisesheets.
Market risk premium: Historical averages 5%-7%; may vary.</t>
        </r>
      </text>
    </comment>
    <comment ref="G13" authorId="2" shapeId="0" xr:uid="{494AAA0C-ACB2-724A-93C0-4855F4A504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perpetual growth rate applied to future cash flows beyond a projection period when valuing a company using the Discounted Cash Flow (DCF) method. Typically a small, stable rate to represent mature growth.
Often assumed between 2%-3%, reflecting long-term inflation and GDP growth, but can vary based on industry and economy.</t>
        </r>
      </text>
    </comment>
    <comment ref="G15" authorId="3" shapeId="0" xr:uid="{BD1197C8-792F-F449-A09A-282D4D605BB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Represents the theoretical return on an investment with zero risk. Often derived from the yield on 10-year U.S. government bonds.</t>
        </r>
      </text>
    </comment>
    <comment ref="G16" authorId="4" shapeId="0" xr:uid="{92A245DC-1544-C942-83ED-E32F66212C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Represents the expected return of the overall market or benchmark index (e.g., S&amp;P 500).
Historical averages 5%-7%; may vary.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<sst xmlns="http://schemas.openxmlformats.org/spreadsheetml/2006/main" count="673" uniqueCount="344">
  <si>
    <t>Ticker</t>
  </si>
  <si>
    <t>Assumptions</t>
  </si>
  <si>
    <t>Switches</t>
  </si>
  <si>
    <t>Revenue growth</t>
  </si>
  <si>
    <t>EBIT margin</t>
  </si>
  <si>
    <t>Taxes</t>
  </si>
  <si>
    <t>D&amp;A</t>
  </si>
  <si>
    <t>CapEx</t>
  </si>
  <si>
    <t>WACC</t>
  </si>
  <si>
    <t>TGR</t>
  </si>
  <si>
    <t>Valuation assumptions</t>
  </si>
  <si>
    <t>Conservative case</t>
  </si>
  <si>
    <t>Revenue 2022</t>
  </si>
  <si>
    <t>Revenue 2028</t>
  </si>
  <si>
    <t>EBIT 2022</t>
  </si>
  <si>
    <t>CapEx (2028)</t>
  </si>
  <si>
    <t>Base case</t>
  </si>
  <si>
    <t>Optimistic case</t>
  </si>
  <si>
    <t>Income Statement</t>
  </si>
  <si>
    <t>Revenue</t>
  </si>
  <si>
    <t>EBIT</t>
  </si>
  <si>
    <t>% of revenue</t>
  </si>
  <si>
    <t>% of EBIT</t>
  </si>
  <si>
    <t>Cash Flow Items</t>
  </si>
  <si>
    <t>% of CapEx</t>
  </si>
  <si>
    <t>Change in NWC</t>
  </si>
  <si>
    <t>% of change in revenue</t>
  </si>
  <si>
    <t>DCF</t>
  </si>
  <si>
    <t>% of growth</t>
  </si>
  <si>
    <t>Base case (Wall Street Estimates)</t>
  </si>
  <si>
    <t>Taxes 2024</t>
  </si>
  <si>
    <t>EBIAT</t>
  </si>
  <si>
    <t>Unlevered Free Cash Flow</t>
  </si>
  <si>
    <t>Cost of Debt</t>
  </si>
  <si>
    <t>Interest Expense</t>
  </si>
  <si>
    <t>Total Debt</t>
  </si>
  <si>
    <t>Cost of debt</t>
  </si>
  <si>
    <t>Effective tax rate</t>
  </si>
  <si>
    <t>Cost of debt after tax</t>
  </si>
  <si>
    <t>Cost of equity</t>
  </si>
  <si>
    <t>Cost of Equity</t>
  </si>
  <si>
    <t>Risk-free rate</t>
  </si>
  <si>
    <t>Beta</t>
  </si>
  <si>
    <t>Market return</t>
  </si>
  <si>
    <t>Weight of Debt and Equity</t>
  </si>
  <si>
    <t>Market cap</t>
  </si>
  <si>
    <t>Total</t>
  </si>
  <si>
    <t xml:space="preserve">Risk-free rate </t>
  </si>
  <si>
    <t>Equity risk premium</t>
  </si>
  <si>
    <t>PV of terminal value</t>
  </si>
  <si>
    <t>Present value of FCF</t>
  </si>
  <si>
    <t>Terminal value</t>
  </si>
  <si>
    <t>Enterprise value</t>
  </si>
  <si>
    <t>(-) Debt</t>
  </si>
  <si>
    <t>Equity value</t>
  </si>
  <si>
    <t>Share price</t>
  </si>
  <si>
    <t xml:space="preserve">(+) Cash </t>
  </si>
  <si>
    <t xml:space="preserve">Interest expense </t>
  </si>
  <si>
    <t xml:space="preserve">Total debt </t>
  </si>
  <si>
    <t xml:space="preserve">Income tax expense </t>
  </si>
  <si>
    <t xml:space="preserve">Income before tax </t>
  </si>
  <si>
    <t>Share Price</t>
  </si>
  <si>
    <t>Current Price</t>
  </si>
  <si>
    <t>Upside (Downside)</t>
  </si>
  <si>
    <t>TTM</t>
  </si>
  <si>
    <t>Description</t>
  </si>
  <si>
    <t>Name</t>
  </si>
  <si>
    <t>Sector</t>
  </si>
  <si>
    <t>Industry</t>
  </si>
  <si>
    <t>Exchange Short Name</t>
  </si>
  <si>
    <t>IPODate</t>
  </si>
  <si>
    <t>Full Time Employees</t>
  </si>
  <si>
    <t>Website</t>
  </si>
  <si>
    <t>Year</t>
  </si>
  <si>
    <t>Pe Ratio</t>
  </si>
  <si>
    <t>Pfcf Ratio</t>
  </si>
  <si>
    <t>Gross Profit</t>
  </si>
  <si>
    <t>Pb Ratio</t>
  </si>
  <si>
    <t>Gross Margin</t>
  </si>
  <si>
    <t>Ptb Ratio</t>
  </si>
  <si>
    <t>EBITDA</t>
  </si>
  <si>
    <t>Ev To Sales</t>
  </si>
  <si>
    <t>Net Income</t>
  </si>
  <si>
    <t>Enterprise Value</t>
  </si>
  <si>
    <t>Net Margin</t>
  </si>
  <si>
    <t>Enterprise Value Over EBITDA</t>
  </si>
  <si>
    <t>EPS</t>
  </si>
  <si>
    <t>Ev To Operating Cash Flow</t>
  </si>
  <si>
    <t>Free Cash Flow</t>
  </si>
  <si>
    <t>Ev To Free Cash Flow</t>
  </si>
  <si>
    <t>Rev %</t>
  </si>
  <si>
    <t>Receivables Turnover</t>
  </si>
  <si>
    <t>Gross Profit %</t>
  </si>
  <si>
    <t>Payables Turnover</t>
  </si>
  <si>
    <t>Net Income %</t>
  </si>
  <si>
    <t>Inventory Turnover</t>
  </si>
  <si>
    <t>EPS %</t>
  </si>
  <si>
    <t>Price To Sales Ratio</t>
  </si>
  <si>
    <t>Free Cash Flow %</t>
  </si>
  <si>
    <t>Debt To Equity</t>
  </si>
  <si>
    <t>Cash And Cash Equivalents</t>
  </si>
  <si>
    <t>Debt To Assets</t>
  </si>
  <si>
    <t>Selling General And Administrative Expenses</t>
  </si>
  <si>
    <t>Net Debt To EBITDA</t>
  </si>
  <si>
    <t>Short Term Debt</t>
  </si>
  <si>
    <t>Current Ratio</t>
  </si>
  <si>
    <t>Research And Development Expenses</t>
  </si>
  <si>
    <t>Interest Coverage</t>
  </si>
  <si>
    <t>Revenue Per Share</t>
  </si>
  <si>
    <t>Income Quality</t>
  </si>
  <si>
    <t>Net Income Per Share</t>
  </si>
  <si>
    <t>Earnings Yield</t>
  </si>
  <si>
    <t>Free Cash Flow Per Share</t>
  </si>
  <si>
    <t>Free Cash Flow Yield</t>
  </si>
  <si>
    <t>Cash Per Share</t>
  </si>
  <si>
    <t>Intangibles To Total Assets</t>
  </si>
  <si>
    <t>Tangible Book Value Per Share</t>
  </si>
  <si>
    <t>Capex To Operating Cash Flow</t>
  </si>
  <si>
    <t>Capex To Revenue</t>
  </si>
  <si>
    <t>Roic</t>
  </si>
  <si>
    <t>PE Ratio</t>
  </si>
  <si>
    <t>Return On Tangible Assets</t>
  </si>
  <si>
    <t>PB Ratio</t>
  </si>
  <si>
    <t>Roe</t>
  </si>
  <si>
    <t>Graham Net Net</t>
  </si>
  <si>
    <t>ROE</t>
  </si>
  <si>
    <t>Dividend</t>
  </si>
  <si>
    <t>Dividend Yield</t>
  </si>
  <si>
    <t>Dividends Yield Growth</t>
  </si>
  <si>
    <t>Weighted Average Shs Out</t>
  </si>
  <si>
    <t>Weighted Average Shares Growth</t>
  </si>
  <si>
    <t>Current Assets</t>
  </si>
  <si>
    <t>Market Cap</t>
  </si>
  <si>
    <t>Current Liabilities</t>
  </si>
  <si>
    <t>Net Working Capital</t>
  </si>
  <si>
    <t>Total Assets</t>
  </si>
  <si>
    <t>Retained Earnings</t>
  </si>
  <si>
    <t>Operating Income</t>
  </si>
  <si>
    <t>Basic Shares Outstanding</t>
  </si>
  <si>
    <t>Stock Price</t>
  </si>
  <si>
    <t>Total Liabilities</t>
  </si>
  <si>
    <t>Dil Shs outstanding</t>
  </si>
  <si>
    <t>Diluted shares outstanding</t>
  </si>
  <si>
    <t>Weighted Average Shs Out Dil</t>
  </si>
  <si>
    <t>Weighted Average Shares Dil Growth</t>
  </si>
  <si>
    <t>Coefficient</t>
  </si>
  <si>
    <t>Variables</t>
  </si>
  <si>
    <t>Z-score (Default Risk)</t>
  </si>
  <si>
    <t>close</t>
  </si>
  <si>
    <t>Charts</t>
  </si>
  <si>
    <t>(in millions $)</t>
  </si>
  <si>
    <t>Cost Of Revenue</t>
  </si>
  <si>
    <t>Gross Profit Ratio</t>
  </si>
  <si>
    <t>Other Expenses</t>
  </si>
  <si>
    <t>Operating Expenses</t>
  </si>
  <si>
    <t>Cost And Expenses</t>
  </si>
  <si>
    <t>EBITDA Ratio</t>
  </si>
  <si>
    <t>Depreciation And Amortization</t>
  </si>
  <si>
    <t>Operating Income Ratio</t>
  </si>
  <si>
    <t>Total Other Income Expenses Net</t>
  </si>
  <si>
    <t>Income Before Tax</t>
  </si>
  <si>
    <t>Income Before Tax Ratio</t>
  </si>
  <si>
    <t>Income Tax Expense</t>
  </si>
  <si>
    <t>Net Income Ratio</t>
  </si>
  <si>
    <t>EPS Diluted</t>
  </si>
  <si>
    <t>Short Term Investments</t>
  </si>
  <si>
    <t>Cash And Short Term Investments</t>
  </si>
  <si>
    <t>Net Receivables</t>
  </si>
  <si>
    <t>Inventory</t>
  </si>
  <si>
    <t>Other Current Assets</t>
  </si>
  <si>
    <t>Total Current Assets</t>
  </si>
  <si>
    <t>Property Plant Equipment Net</t>
  </si>
  <si>
    <t>Goodwill</t>
  </si>
  <si>
    <t>Intangible Assets</t>
  </si>
  <si>
    <t>Long Term Investments</t>
  </si>
  <si>
    <t>Tax Assets</t>
  </si>
  <si>
    <t>Other Non Current Assets</t>
  </si>
  <si>
    <t>Total Non Current Assets</t>
  </si>
  <si>
    <t>Other Assets</t>
  </si>
  <si>
    <t>Account Payables</t>
  </si>
  <si>
    <t>Tax Payables</t>
  </si>
  <si>
    <t>Deferred Revenue</t>
  </si>
  <si>
    <t>Other Current Liabilities</t>
  </si>
  <si>
    <t>Total Current Liabilities</t>
  </si>
  <si>
    <t>Long Term Debt</t>
  </si>
  <si>
    <t>Deferred Revenue Non Current</t>
  </si>
  <si>
    <t>Deferred Tax Liabilities Non Current</t>
  </si>
  <si>
    <t>Other Non Current Liabilities</t>
  </si>
  <si>
    <t>Total Non Current Liabilities</t>
  </si>
  <si>
    <t>Other Liabilities</t>
  </si>
  <si>
    <t>Common Stock</t>
  </si>
  <si>
    <t>Accumulated Other Comprehensive Income Loss</t>
  </si>
  <si>
    <t>Othertotal Stockholders Equity</t>
  </si>
  <si>
    <t>Total Stockholders Equity</t>
  </si>
  <si>
    <t>Total Liabilities And Stockholders Equity</t>
  </si>
  <si>
    <t>Total Investments</t>
  </si>
  <si>
    <t>Net Debt</t>
  </si>
  <si>
    <t>Deferred Income Tax</t>
  </si>
  <si>
    <t>Stock Based Compensation</t>
  </si>
  <si>
    <t>Change In Working Capital</t>
  </si>
  <si>
    <t>Accounts Receivables</t>
  </si>
  <si>
    <t>Accounts Payables</t>
  </si>
  <si>
    <t>Other Working Capital</t>
  </si>
  <si>
    <t>Other Non Cash Items</t>
  </si>
  <si>
    <t>Net Cash Provided By Operating Activities</t>
  </si>
  <si>
    <t>Investments In Property Plant And Equipment</t>
  </si>
  <si>
    <t>Acquisitions Net</t>
  </si>
  <si>
    <t>Purchases Of Investments</t>
  </si>
  <si>
    <t>Sales Maturities Of Investments</t>
  </si>
  <si>
    <t>Other Investing Activites</t>
  </si>
  <si>
    <t>Net Cash Used For Investing Activites</t>
  </si>
  <si>
    <t>Debt Repayment</t>
  </si>
  <si>
    <t>Common Stock Issued</t>
  </si>
  <si>
    <t>Common Stock Repurchased</t>
  </si>
  <si>
    <t>Dividends Paid</t>
  </si>
  <si>
    <t>Other Financing Activites</t>
  </si>
  <si>
    <t>Net Cash Used Provided By Financing Activities</t>
  </si>
  <si>
    <t>Effect Of Forex Changes On Cash</t>
  </si>
  <si>
    <t>Net Change In Cash</t>
  </si>
  <si>
    <t>Cash At End Of Period</t>
  </si>
  <si>
    <t>Cash At Beginning Of Period</t>
  </si>
  <si>
    <t>Operating Cash Flow</t>
  </si>
  <si>
    <t>Capital Expenditure</t>
  </si>
  <si>
    <t>Balance Sheet</t>
  </si>
  <si>
    <t>Cash Flow Statement</t>
  </si>
  <si>
    <t>Operating Cash Flow Per Share</t>
  </si>
  <si>
    <t>Book Value Per Share</t>
  </si>
  <si>
    <t>Shareholders Equity Per Share</t>
  </si>
  <si>
    <t>Interest Debt Per Share</t>
  </si>
  <si>
    <t>Pocfratio</t>
  </si>
  <si>
    <t>Payout Ratio</t>
  </si>
  <si>
    <t>Sales General And Administrative To Revenue</t>
  </si>
  <si>
    <t>Research And Ddevelopement To Revenue</t>
  </si>
  <si>
    <t>Capex To Depreciation</t>
  </si>
  <si>
    <t>Stock Based Compensation To Revenue</t>
  </si>
  <si>
    <t>Graham Number</t>
  </si>
  <si>
    <t>Working Capital</t>
  </si>
  <si>
    <t>Tangible Asset Value</t>
  </si>
  <si>
    <t>Net Current Asset Value</t>
  </si>
  <si>
    <t>Average Receivables</t>
  </si>
  <si>
    <t>Average Payables</t>
  </si>
  <si>
    <t>Average Inventory</t>
  </si>
  <si>
    <t>Days Sales Outstanding</t>
  </si>
  <si>
    <t>Days Payables Outstanding</t>
  </si>
  <si>
    <t>Days Of Inventory On Hand</t>
  </si>
  <si>
    <t>Capex Per Share</t>
  </si>
  <si>
    <t>Key Metrics</t>
  </si>
  <si>
    <t>Revenue Growth</t>
  </si>
  <si>
    <t>Gross Profit Growth</t>
  </si>
  <si>
    <t>Ebitgrowth</t>
  </si>
  <si>
    <t>Operating Income Growth</t>
  </si>
  <si>
    <t>Net Income Growth</t>
  </si>
  <si>
    <t>Epsgrowth</t>
  </si>
  <si>
    <t>Epsdiluted Growth</t>
  </si>
  <si>
    <t>Weighted Average Shares Diluted Growth</t>
  </si>
  <si>
    <t>Dividendsper Share Growth</t>
  </si>
  <si>
    <t>Operating Cash Flow Growth</t>
  </si>
  <si>
    <t>Free Cash Flow Growth</t>
  </si>
  <si>
    <t>Ten YRevenue Growth Per Share</t>
  </si>
  <si>
    <t>Five YRevenue Growth Per Share</t>
  </si>
  <si>
    <t>Three YRevenue Growth Per Share</t>
  </si>
  <si>
    <t>Ten YOperating CFGrowth Per Share</t>
  </si>
  <si>
    <t>Five YOperating CFGrowth Per Share</t>
  </si>
  <si>
    <t>Three YOperating CFGrowth Per Share</t>
  </si>
  <si>
    <t>Ten YNet Income Growth Per Share</t>
  </si>
  <si>
    <t>Five YNet Income Growth Per Share</t>
  </si>
  <si>
    <t>Three YNet Income Growth Per Share</t>
  </si>
  <si>
    <t>Ten YShareholders Equity Growth Per Share</t>
  </si>
  <si>
    <t>Five YShareholders Equity Growth Per Share</t>
  </si>
  <si>
    <t>Three YShareholders Equity Growth Per Share</t>
  </si>
  <si>
    <t>Ten YDividendper Share Growth Per Share</t>
  </si>
  <si>
    <t>Five YDividendper Share Growth Per Share</t>
  </si>
  <si>
    <t>Three YDividendper Share Growth Per Share</t>
  </si>
  <si>
    <t>Receivables Growth</t>
  </si>
  <si>
    <t>Asset Growth</t>
  </si>
  <si>
    <t>Inventory Growth</t>
  </si>
  <si>
    <t>Book Valueper Share Growth</t>
  </si>
  <si>
    <t>Debt Growth</t>
  </si>
  <si>
    <t>Rdexpense Growth</t>
  </si>
  <si>
    <t>Sgaexpenses Growth</t>
  </si>
  <si>
    <t>Financial Growth</t>
  </si>
  <si>
    <t>Estimated Revenue Low</t>
  </si>
  <si>
    <t>Estimated Revenue High</t>
  </si>
  <si>
    <t>Estimated Revenue AVG</t>
  </si>
  <si>
    <t>Estimated EBITDA Low</t>
  </si>
  <si>
    <t>Estimated EBITDA High</t>
  </si>
  <si>
    <t>Estimated EBITDA AVG</t>
  </si>
  <si>
    <t>Estimated EBIT Low</t>
  </si>
  <si>
    <t>Estimated EBIT High</t>
  </si>
  <si>
    <t>Estimated EBIT AVG</t>
  </si>
  <si>
    <t>Estimated Net Income Low</t>
  </si>
  <si>
    <t>Estimated Net Income High</t>
  </si>
  <si>
    <t>Estimated Net Income AVG</t>
  </si>
  <si>
    <t>Estimated SGA Expense Low</t>
  </si>
  <si>
    <t>Estimated SGA Expense High</t>
  </si>
  <si>
    <t>Estimated SGA Expense AVG</t>
  </si>
  <si>
    <t>Estimated EPS AVG</t>
  </si>
  <si>
    <t>Estimated EPS High</t>
  </si>
  <si>
    <t>Estimated EPS Low</t>
  </si>
  <si>
    <t>Number Analyst Estimated Revenue</t>
  </si>
  <si>
    <t>Number Analysts Estimated EPS</t>
  </si>
  <si>
    <t>Analyst Estimates</t>
  </si>
  <si>
    <t>DCF Valuation</t>
  </si>
  <si>
    <t>Financial Leverage</t>
  </si>
  <si>
    <t>Total Equity</t>
  </si>
  <si>
    <t>Debt-to-Equity</t>
  </si>
  <si>
    <t>Debt-to-Assets</t>
  </si>
  <si>
    <t>Net Debt-to-EBITDA</t>
  </si>
  <si>
    <t>Total Debt-to-EBITDA</t>
  </si>
  <si>
    <t>Profitability analysis</t>
  </si>
  <si>
    <t>Net Income margin</t>
  </si>
  <si>
    <t xml:space="preserve">Gross Profit margin </t>
  </si>
  <si>
    <t>ROA</t>
  </si>
  <si>
    <t>ROIC</t>
  </si>
  <si>
    <t>Market Value analysis</t>
  </si>
  <si>
    <t>PE ratio</t>
  </si>
  <si>
    <t>PB ratio</t>
  </si>
  <si>
    <t>Liquidity analysis</t>
  </si>
  <si>
    <t>Current ratio</t>
  </si>
  <si>
    <t>Financial Leverage analysis</t>
  </si>
  <si>
    <t>Debt-to-equity</t>
  </si>
  <si>
    <t>Technology</t>
  </si>
  <si>
    <t>Com services</t>
  </si>
  <si>
    <t>AAPL</t>
  </si>
  <si>
    <t>Analysis Year</t>
  </si>
  <si>
    <t>Company</t>
  </si>
  <si>
    <t>AAPL (NASDAQ)</t>
  </si>
  <si>
    <t>Currency</t>
  </si>
  <si>
    <t>USD</t>
  </si>
  <si>
    <t>Epsdiluted</t>
  </si>
  <si>
    <t>Eps</t>
  </si>
  <si>
    <t>Ebitdaratio</t>
  </si>
  <si>
    <t>Ebitda</t>
  </si>
  <si>
    <t xml:space="preserve">    Selling And Marketing Expenses</t>
  </si>
  <si>
    <t xml:space="preserve">    General And Administrative Expenses</t>
  </si>
  <si>
    <t>Period</t>
  </si>
  <si>
    <t>FY</t>
  </si>
  <si>
    <t>Date</t>
  </si>
  <si>
    <t>Goodwill And Intangible Assets</t>
  </si>
  <si>
    <t>Cash Flow</t>
  </si>
  <si>
    <t>Other Financing Activities</t>
  </si>
  <si>
    <t>Net Cash Used For Investing Activities</t>
  </si>
  <si>
    <t>Other Investing Activities</t>
  </si>
  <si>
    <t>Research And Development To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</si>
</sst>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quot;$&quot;* #,##0.00_-;\-&quot;$&quot;* #,##0.00_-;_-&quot;$&quot;* &quot;-&quot;??_-;_-@_-"/>
    <numFmt numFmtId="165" formatCode="#,##0;[Red]\(#,##0\)"/>
    <numFmt numFmtId="166" formatCode="0.0%"/>
    <numFmt numFmtId="167" formatCode="#,##0_ ;\-#,##0\ "/>
    <numFmt numFmtId="168" formatCode="0.000"/>
    <numFmt numFmtId="169" formatCode="[Color31]#.00%;[Red]\(#.00%\)"/>
    <numFmt numFmtId="170" formatCode="#,##0;\(#,###\)"/>
    <numFmt numFmtId="171" formatCode="#,##0.00;\(#,###.00\)"/>
    <numFmt numFmtId="172" formatCode="##,##0.00;\(##,##0.00\)"/>
    <numFmt numFmtId="173" formatCode="[Color31]0.00%;[Red]\(0.00%\)"/>
    <numFmt numFmtId="174" formatCode="#,##0.00_);\(#,##0.00\)"/>
    <numFmt numFmtId="175" formatCode="0.00_);\(0.00\)"/>
  </numFmts>
  <fonts count="1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i/>
      <sz val="11"/>
      <color theme="1"/>
      <name val="Calibri"/>
      <family val="2"/>
      <scheme val="minor"/>
    </font>
    <font>
      <b/>
      <sz val="11"/>
      <name val="Calibri"/>
      <family val="2"/>
      <scheme val="minor"/>
    </font>
    <font>
      <sz val="11"/>
      <name val="Calibri"/>
      <family val="2"/>
      <scheme val="minor"/>
    </font>
    <font>
      <b/>
      <sz val="11"/>
      <color theme="4" tint="-0.249977111117893"/>
      <name val="Calibri"/>
      <family val="2"/>
      <scheme val="minor"/>
    </font>
    <font>
      <sz val="11"/>
      <color theme="5"/>
      <name val="Calibri"/>
      <family val="2"/>
      <scheme val="minor"/>
    </font>
    <font>
      <sz val="11"/>
      <color theme="9"/>
      <name val="Calibri"/>
      <family val="2"/>
      <scheme val="minor"/>
    </font>
    <font>
      <sz val="11"/>
      <color rgb="FF00B050"/>
      <name val="Calibri"/>
      <family val="2"/>
      <scheme val="minor"/>
    </font>
    <font>
      <i/>
      <sz val="11"/>
      <color rgb="FF7030A0"/>
      <name val="Calibri"/>
      <family val="2"/>
      <scheme val="minor"/>
    </font>
    <font>
      <sz val="11"/>
      <color rgb="FF7030A0"/>
      <name val="Calibri"/>
      <family val="2"/>
      <scheme val="minor"/>
    </font>
    <font>
      <i/>
      <sz val="11"/>
      <name val="Calibri"/>
      <family val="2"/>
      <scheme val="minor"/>
    </font>
    <font>
      <b/>
      <sz val="11"/>
      <color theme="2"/>
      <name val="Calibri"/>
      <family val="2"/>
      <scheme val="minor"/>
    </font>
    <font>
      <sz val="11"/>
      <color theme="2"/>
      <name val="Calibri"/>
      <family val="2"/>
      <scheme val="minor"/>
    </font>
    <font>
      <b/>
      <sz val="11"/>
      <color rgb="FF364165"/>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theme="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theme="8" tint="0.79998168889431442"/>
      </patternFill>
    </fill>
    <fill>
      <patternFill patternType="solid">
        <fgColor rgb="FFF7F8F8"/>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style="thin">
        <color rgb="FF000000"/>
      </top>
      <bottom style="thin">
        <color rgb="FF000000"/>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9">
    <xf numFmtId="0" fontId="0" fillId="0" borderId="0" xfId="0"/>
    <xf numFmtId="0" fontId="8" fillId="0" borderId="0" xfId="0" applyFont="1"/>
    <xf numFmtId="10" fontId="0" fillId="0" borderId="0" xfId="1" applyNumberFormat="1" applyFont="1"/>
    <xf numFmtId="0" fontId="2" fillId="2" borderId="1" xfId="0" applyFont="1" applyFill="1" applyBorder="1"/>
    <xf numFmtId="0" fontId="2" fillId="2" borderId="2" xfId="0" applyFont="1" applyFill="1" applyBorder="1"/>
    <xf numFmtId="0" fontId="0" fillId="0" borderId="4" xfId="0" applyBorder="1"/>
    <xf numFmtId="0" fontId="0" fillId="0" borderId="5" xfId="0" applyBorder="1"/>
    <xf numFmtId="0" fontId="3" fillId="0" borderId="4" xfId="0" applyFont="1" applyBorder="1"/>
    <xf numFmtId="10" fontId="0" fillId="0" borderId="5" xfId="1" applyNumberFormat="1" applyFont="1" applyBorder="1"/>
    <xf numFmtId="2" fontId="0" fillId="0" borderId="5" xfId="0" applyNumberFormat="1" applyBorder="1"/>
    <xf numFmtId="167" fontId="0" fillId="0" borderId="0" xfId="0" applyNumberFormat="1"/>
    <xf numFmtId="3" fontId="0" fillId="0" borderId="0" xfId="0" applyNumberFormat="1"/>
    <xf numFmtId="3" fontId="0" fillId="0" borderId="5" xfId="0" applyNumberFormat="1" applyBorder="1"/>
    <xf numFmtId="0" fontId="0" fillId="0" borderId="6" xfId="0" applyBorder="1"/>
    <xf numFmtId="0" fontId="0" fillId="0" borderId="7" xfId="0" applyBorder="1"/>
    <xf numFmtId="0" fontId="2" fillId="2" borderId="3" xfId="0" applyFont="1" applyFill="1" applyBorder="1"/>
    <xf numFmtId="0" fontId="7" fillId="0" borderId="0" xfId="0" applyFont="1"/>
    <xf numFmtId="166" fontId="0" fillId="0" borderId="0" xfId="1" applyNumberFormat="1" applyFont="1" applyBorder="1" applyAlignment="1">
      <alignment horizontal="center"/>
    </xf>
    <xf numFmtId="166" fontId="0" fillId="0" borderId="5" xfId="1" applyNumberFormat="1" applyFont="1" applyBorder="1" applyAlignment="1">
      <alignment horizontal="center"/>
    </xf>
    <xf numFmtId="10" fontId="0" fillId="0" borderId="0" xfId="1" applyNumberFormat="1" applyFont="1" applyBorder="1"/>
    <xf numFmtId="10" fontId="0" fillId="0" borderId="7" xfId="1" applyNumberFormat="1" applyFont="1" applyBorder="1"/>
    <xf numFmtId="0" fontId="0" fillId="0" borderId="8" xfId="0" applyBorder="1"/>
    <xf numFmtId="0" fontId="3" fillId="0" borderId="9" xfId="0" applyFont="1" applyBorder="1"/>
    <xf numFmtId="0" fontId="3" fillId="0" borderId="10" xfId="0" applyFont="1" applyBorder="1"/>
    <xf numFmtId="0" fontId="9" fillId="2" borderId="2" xfId="0" applyFont="1" applyFill="1" applyBorder="1"/>
    <xf numFmtId="0" fontId="2" fillId="3" borderId="2" xfId="0" applyFont="1" applyFill="1" applyBorder="1"/>
    <xf numFmtId="0" fontId="2" fillId="3" borderId="3" xfId="0" applyFont="1" applyFill="1" applyBorder="1"/>
    <xf numFmtId="0" fontId="4" fillId="0" borderId="0" xfId="0" applyFont="1"/>
    <xf numFmtId="3" fontId="11" fillId="0" borderId="0" xfId="0" applyNumberFormat="1" applyFont="1"/>
    <xf numFmtId="3" fontId="10" fillId="0" borderId="0" xfId="0" applyNumberFormat="1" applyFont="1"/>
    <xf numFmtId="3" fontId="10" fillId="0" borderId="5" xfId="0" applyNumberFormat="1" applyFont="1" applyBorder="1"/>
    <xf numFmtId="0" fontId="6" fillId="0" borderId="4" xfId="0" applyFont="1" applyBorder="1"/>
    <xf numFmtId="9" fontId="6" fillId="0" borderId="0" xfId="1" applyFont="1" applyBorder="1"/>
    <xf numFmtId="9" fontId="6" fillId="0" borderId="5" xfId="1" applyFont="1" applyBorder="1"/>
    <xf numFmtId="0" fontId="6" fillId="0" borderId="6" xfId="0" applyFont="1" applyBorder="1"/>
    <xf numFmtId="9" fontId="6" fillId="0" borderId="7" xfId="1" applyFont="1" applyBorder="1"/>
    <xf numFmtId="9" fontId="6" fillId="0" borderId="7" xfId="0" applyNumberFormat="1" applyFont="1" applyBorder="1"/>
    <xf numFmtId="9" fontId="6" fillId="0" borderId="8" xfId="0" applyNumberFormat="1" applyFont="1" applyBorder="1"/>
    <xf numFmtId="9" fontId="6" fillId="0" borderId="0" xfId="0" applyNumberFormat="1" applyFont="1"/>
    <xf numFmtId="9" fontId="6" fillId="0" borderId="5" xfId="0" applyNumberFormat="1" applyFont="1" applyBorder="1"/>
    <xf numFmtId="3" fontId="12" fillId="0" borderId="0" xfId="0" applyNumberFormat="1" applyFont="1"/>
    <xf numFmtId="165" fontId="12" fillId="0" borderId="0" xfId="0" applyNumberFormat="1" applyFont="1"/>
    <xf numFmtId="165" fontId="10" fillId="0" borderId="0" xfId="0" applyNumberFormat="1" applyFont="1"/>
    <xf numFmtId="165" fontId="10" fillId="0" borderId="5" xfId="0" applyNumberFormat="1" applyFont="1" applyBorder="1"/>
    <xf numFmtId="9" fontId="6" fillId="0" borderId="8" xfId="1" applyFont="1" applyBorder="1"/>
    <xf numFmtId="3" fontId="14" fillId="0" borderId="0" xfId="0" applyNumberFormat="1" applyFont="1"/>
    <xf numFmtId="166" fontId="6" fillId="5" borderId="0" xfId="1" applyNumberFormat="1" applyFont="1" applyFill="1" applyBorder="1"/>
    <xf numFmtId="166" fontId="13" fillId="5" borderId="0" xfId="1" applyNumberFormat="1" applyFont="1" applyFill="1" applyBorder="1"/>
    <xf numFmtId="166" fontId="6" fillId="5" borderId="5" xfId="1" applyNumberFormat="1" applyFont="1" applyFill="1" applyBorder="1"/>
    <xf numFmtId="166" fontId="15" fillId="5" borderId="0" xfId="1" applyNumberFormat="1" applyFont="1" applyFill="1" applyBorder="1"/>
    <xf numFmtId="166" fontId="15" fillId="5" borderId="5" xfId="1" applyNumberFormat="1" applyFont="1" applyFill="1" applyBorder="1"/>
    <xf numFmtId="0" fontId="7" fillId="6" borderId="4" xfId="0" applyFont="1" applyFill="1" applyBorder="1"/>
    <xf numFmtId="0" fontId="0" fillId="6" borderId="0" xfId="0" applyFill="1"/>
    <xf numFmtId="3" fontId="3" fillId="6" borderId="0" xfId="0" applyNumberFormat="1" applyFont="1" applyFill="1"/>
    <xf numFmtId="3" fontId="3" fillId="6" borderId="5" xfId="0" applyNumberFormat="1" applyFont="1" applyFill="1" applyBorder="1"/>
    <xf numFmtId="165" fontId="14" fillId="0" borderId="0" xfId="0" applyNumberFormat="1" applyFont="1"/>
    <xf numFmtId="165" fontId="8" fillId="0" borderId="0" xfId="0" applyNumberFormat="1" applyFont="1"/>
    <xf numFmtId="165" fontId="8" fillId="0" borderId="5" xfId="0" applyNumberFormat="1" applyFont="1" applyBorder="1"/>
    <xf numFmtId="166" fontId="0" fillId="0" borderId="0" xfId="0" applyNumberFormat="1"/>
    <xf numFmtId="166" fontId="0" fillId="0" borderId="5" xfId="0" applyNumberFormat="1" applyBorder="1"/>
    <xf numFmtId="0" fontId="0" fillId="4" borderId="11" xfId="0" applyFill="1" applyBorder="1" applyAlignment="1">
      <alignment horizontal="center"/>
    </xf>
    <xf numFmtId="0" fontId="0" fillId="4" borderId="0" xfId="0" applyFill="1" applyAlignment="1">
      <alignment horizontal="center"/>
    </xf>
    <xf numFmtId="10" fontId="3" fillId="0" borderId="5" xfId="0" applyNumberFormat="1" applyFont="1" applyBorder="1"/>
    <xf numFmtId="9" fontId="0" fillId="0" borderId="0" xfId="1" applyFont="1"/>
    <xf numFmtId="0" fontId="4" fillId="2" borderId="2" xfId="0" applyFont="1" applyFill="1" applyBorder="1"/>
    <xf numFmtId="0" fontId="4" fillId="2" borderId="3" xfId="0" applyFont="1" applyFill="1" applyBorder="1"/>
    <xf numFmtId="2" fontId="0" fillId="0" borderId="0" xfId="0" applyNumberFormat="1"/>
    <xf numFmtId="0" fontId="3" fillId="6" borderId="4" xfId="0" applyFont="1" applyFill="1" applyBorder="1"/>
    <xf numFmtId="0" fontId="0" fillId="0" borderId="0" xfId="0" applyAlignment="1">
      <alignment horizontal="right"/>
    </xf>
    <xf numFmtId="0" fontId="0" fillId="0" borderId="5" xfId="0" applyBorder="1" applyAlignment="1">
      <alignment horizontal="right"/>
    </xf>
    <xf numFmtId="0" fontId="3" fillId="0" borderId="0" xfId="0" applyFont="1"/>
    <xf numFmtId="2" fontId="3" fillId="0" borderId="0" xfId="0" applyNumberFormat="1" applyFont="1"/>
    <xf numFmtId="0" fontId="3" fillId="0" borderId="7" xfId="0" applyFont="1" applyBorder="1"/>
    <xf numFmtId="0" fontId="3" fillId="0" borderId="6" xfId="0" applyFont="1" applyBorder="1"/>
    <xf numFmtId="0" fontId="0" fillId="2" borderId="0" xfId="0" applyFill="1"/>
    <xf numFmtId="0" fontId="0" fillId="2" borderId="2" xfId="0" applyFill="1" applyBorder="1"/>
    <xf numFmtId="0" fontId="0" fillId="2" borderId="3" xfId="0" applyFill="1" applyBorder="1"/>
    <xf numFmtId="0" fontId="0" fillId="0" borderId="2" xfId="0" applyBorder="1"/>
    <xf numFmtId="167" fontId="0" fillId="0" borderId="0" xfId="2" applyNumberFormat="1" applyFont="1" applyBorder="1"/>
    <xf numFmtId="10" fontId="0" fillId="0" borderId="0" xfId="0" applyNumberFormat="1"/>
    <xf numFmtId="10" fontId="0" fillId="0" borderId="7" xfId="0" applyNumberFormat="1" applyBorder="1"/>
    <xf numFmtId="3" fontId="14" fillId="0" borderId="0" xfId="1" applyNumberFormat="1" applyFont="1" applyFill="1" applyBorder="1"/>
    <xf numFmtId="3" fontId="14" fillId="0" borderId="5" xfId="1" applyNumberFormat="1" applyFont="1" applyFill="1" applyBorder="1"/>
    <xf numFmtId="0" fontId="8" fillId="0" borderId="4" xfId="0" applyFont="1" applyBorder="1"/>
    <xf numFmtId="3" fontId="14" fillId="0" borderId="5" xfId="0" applyNumberFormat="1" applyFont="1" applyBorder="1"/>
    <xf numFmtId="0" fontId="8" fillId="0" borderId="6" xfId="0" applyFont="1" applyBorder="1"/>
    <xf numFmtId="3" fontId="14" fillId="0" borderId="7" xfId="0" applyNumberFormat="1" applyFont="1" applyBorder="1"/>
    <xf numFmtId="3" fontId="14" fillId="0" borderId="8" xfId="0" applyNumberFormat="1" applyFont="1" applyBorder="1"/>
    <xf numFmtId="167" fontId="0" fillId="0" borderId="0" xfId="0" applyNumberFormat="1" applyAlignment="1">
      <alignment horizontal="right"/>
    </xf>
    <xf numFmtId="0" fontId="2" fillId="2" borderId="9" xfId="0" applyFont="1" applyFill="1" applyBorder="1"/>
    <xf numFmtId="0" fontId="2" fillId="2" borderId="10" xfId="0" applyFont="1" applyFill="1" applyBorder="1"/>
    <xf numFmtId="0" fontId="2" fillId="0" borderId="0" xfId="0" applyFont="1" applyAlignment="1">
      <alignment horizontal="center"/>
    </xf>
    <xf numFmtId="2" fontId="4" fillId="0" borderId="0" xfId="0" applyNumberFormat="1" applyFont="1" applyAlignment="1">
      <alignment horizontal="center" vertical="center"/>
    </xf>
    <xf numFmtId="0" fontId="4" fillId="0" borderId="0" xfId="0" applyFont="1" applyAlignment="1">
      <alignment horizontal="center" vertical="center"/>
    </xf>
    <xf numFmtId="0" fontId="0" fillId="7" borderId="0" xfId="0" applyFill="1"/>
    <xf numFmtId="3" fontId="0" fillId="7" borderId="0" xfId="0" applyNumberFormat="1" applyFill="1"/>
    <xf numFmtId="0" fontId="0" fillId="8" borderId="0" xfId="0" applyFill="1"/>
    <xf numFmtId="3" fontId="0" fillId="8" borderId="0" xfId="0" applyNumberFormat="1" applyFill="1"/>
    <xf numFmtId="9" fontId="3" fillId="7" borderId="0" xfId="1" applyFont="1" applyFill="1" applyBorder="1"/>
    <xf numFmtId="9" fontId="3" fillId="8" borderId="0" xfId="1" applyFont="1" applyFill="1" applyBorder="1"/>
    <xf numFmtId="4" fontId="0" fillId="7" borderId="0" xfId="0" applyNumberFormat="1" applyFill="1"/>
    <xf numFmtId="9" fontId="0" fillId="7" borderId="0" xfId="1" applyFont="1" applyFill="1" applyBorder="1"/>
    <xf numFmtId="9" fontId="0" fillId="8" borderId="0" xfId="1" applyFont="1" applyFill="1" applyBorder="1"/>
    <xf numFmtId="4" fontId="0" fillId="8" borderId="0" xfId="0" applyNumberFormat="1" applyFill="1"/>
    <xf numFmtId="2" fontId="0" fillId="7" borderId="0" xfId="0" applyNumberFormat="1" applyFill="1"/>
    <xf numFmtId="2" fontId="0" fillId="8" borderId="0" xfId="0" applyNumberFormat="1" applyFill="1"/>
    <xf numFmtId="3" fontId="0" fillId="8" borderId="7" xfId="0" applyNumberFormat="1" applyFill="1" applyBorder="1"/>
    <xf numFmtId="0" fontId="0" fillId="7" borderId="7" xfId="0" applyFill="1" applyBorder="1"/>
    <xf numFmtId="9" fontId="0" fillId="7" borderId="7" xfId="1" applyFont="1" applyFill="1" applyBorder="1"/>
    <xf numFmtId="3" fontId="0" fillId="7" borderId="7" xfId="0" applyNumberFormat="1" applyFill="1" applyBorder="1"/>
    <xf numFmtId="4" fontId="0" fillId="8" borderId="7" xfId="0" applyNumberFormat="1" applyFill="1" applyBorder="1"/>
    <xf numFmtId="2" fontId="0" fillId="8" borderId="7" xfId="0" applyNumberFormat="1" applyFill="1" applyBorder="1"/>
    <xf numFmtId="11" fontId="0" fillId="0" borderId="0" xfId="0" applyNumberFormat="1"/>
    <xf numFmtId="0" fontId="2" fillId="2" borderId="3" xfId="0" applyFont="1" applyFill="1" applyBorder="1" applyAlignment="1">
      <alignment horizontal="right" indent="1"/>
    </xf>
    <xf numFmtId="0" fontId="0" fillId="7" borderId="4" xfId="0" applyFill="1" applyBorder="1"/>
    <xf numFmtId="3" fontId="0" fillId="7" borderId="5" xfId="0" applyNumberFormat="1" applyFill="1" applyBorder="1"/>
    <xf numFmtId="0" fontId="0" fillId="8" borderId="4" xfId="0" applyFill="1" applyBorder="1"/>
    <xf numFmtId="3" fontId="0" fillId="8" borderId="5" xfId="0" applyNumberFormat="1" applyFill="1" applyBorder="1"/>
    <xf numFmtId="9" fontId="3" fillId="7" borderId="5" xfId="1" applyFont="1" applyFill="1" applyBorder="1"/>
    <xf numFmtId="9" fontId="3" fillId="8" borderId="5" xfId="1" applyFont="1" applyFill="1" applyBorder="1"/>
    <xf numFmtId="4" fontId="0" fillId="7" borderId="5" xfId="0" applyNumberFormat="1" applyFill="1" applyBorder="1"/>
    <xf numFmtId="3" fontId="0" fillId="8" borderId="8" xfId="0" applyNumberFormat="1" applyFill="1" applyBorder="1"/>
    <xf numFmtId="9" fontId="0" fillId="7" borderId="5" xfId="1" applyFont="1" applyFill="1" applyBorder="1"/>
    <xf numFmtId="9" fontId="0" fillId="8" borderId="5" xfId="1" applyFont="1" applyFill="1" applyBorder="1"/>
    <xf numFmtId="9" fontId="0" fillId="7" borderId="8" xfId="1" applyFont="1" applyFill="1" applyBorder="1"/>
    <xf numFmtId="3" fontId="0" fillId="7" borderId="8" xfId="0" applyNumberFormat="1" applyFill="1" applyBorder="1"/>
    <xf numFmtId="4" fontId="0" fillId="8" borderId="5" xfId="0" applyNumberFormat="1" applyFill="1" applyBorder="1"/>
    <xf numFmtId="4" fontId="0" fillId="8" borderId="8" xfId="0" applyNumberFormat="1" applyFill="1" applyBorder="1"/>
    <xf numFmtId="2" fontId="0" fillId="7" borderId="5" xfId="0" applyNumberFormat="1" applyFill="1" applyBorder="1"/>
    <xf numFmtId="2" fontId="0" fillId="8" borderId="5" xfId="0" applyNumberFormat="1" applyFill="1" applyBorder="1"/>
    <xf numFmtId="2" fontId="0" fillId="8" borderId="8" xfId="0" applyNumberFormat="1" applyFill="1" applyBorder="1"/>
    <xf numFmtId="0" fontId="0" fillId="7" borderId="6" xfId="0" applyFill="1" applyBorder="1"/>
    <xf numFmtId="0" fontId="0" fillId="8" borderId="6" xfId="0" applyFill="1" applyBorder="1"/>
    <xf numFmtId="0" fontId="0" fillId="8" borderId="7" xfId="0" applyFill="1" applyBorder="1"/>
    <xf numFmtId="166" fontId="0" fillId="7" borderId="7" xfId="1" applyNumberFormat="1" applyFont="1" applyFill="1" applyBorder="1"/>
    <xf numFmtId="164" fontId="0" fillId="0" borderId="11" xfId="2" applyFont="1" applyBorder="1" applyAlignment="1">
      <alignment horizontal="center"/>
    </xf>
    <xf numFmtId="0" fontId="2" fillId="6" borderId="9" xfId="0" applyFont="1" applyFill="1" applyBorder="1"/>
    <xf numFmtId="0" fontId="0" fillId="6" borderId="10" xfId="0" applyFill="1" applyBorder="1"/>
    <xf numFmtId="0" fontId="2" fillId="2" borderId="11" xfId="0" applyFont="1" applyFill="1" applyBorder="1"/>
    <xf numFmtId="11" fontId="0" fillId="0" borderId="5" xfId="0" applyNumberFormat="1" applyBorder="1"/>
    <xf numFmtId="3" fontId="0" fillId="0" borderId="0" xfId="0" applyNumberFormat="1" applyAlignment="1">
      <alignment horizontal="left"/>
    </xf>
    <xf numFmtId="0" fontId="3" fillId="0" borderId="5" xfId="0" applyFont="1" applyBorder="1" applyAlignment="1">
      <alignment horizontal="right"/>
    </xf>
    <xf numFmtId="4" fontId="0" fillId="0" borderId="0" xfId="0" applyNumberFormat="1"/>
    <xf numFmtId="4" fontId="0" fillId="0" borderId="5" xfId="0" applyNumberFormat="1" applyBorder="1"/>
    <xf numFmtId="0" fontId="2" fillId="6" borderId="4" xfId="0" applyFont="1" applyFill="1" applyBorder="1"/>
    <xf numFmtId="0" fontId="4" fillId="6" borderId="0" xfId="0" applyFont="1" applyFill="1"/>
    <xf numFmtId="0" fontId="0" fillId="0" borderId="4" xfId="0" applyBorder="1" applyAlignment="1">
      <alignment horizontal="center"/>
    </xf>
    <xf numFmtId="2" fontId="3" fillId="0" borderId="5" xfId="0" applyNumberFormat="1" applyFont="1" applyBorder="1"/>
    <xf numFmtId="166" fontId="0" fillId="8" borderId="0" xfId="1" applyNumberFormat="1" applyFont="1" applyFill="1" applyBorder="1"/>
    <xf numFmtId="0" fontId="2" fillId="0" borderId="0" xfId="0" applyFont="1"/>
    <xf numFmtId="0" fontId="3" fillId="0" borderId="2" xfId="0" applyFont="1" applyBorder="1"/>
    <xf numFmtId="9" fontId="3" fillId="0" borderId="0" xfId="1" applyFont="1" applyBorder="1"/>
    <xf numFmtId="9" fontId="3" fillId="0" borderId="5" xfId="1" applyFont="1" applyBorder="1"/>
    <xf numFmtId="0" fontId="3" fillId="0" borderId="1" xfId="0" applyFont="1" applyBorder="1"/>
    <xf numFmtId="165" fontId="14" fillId="0" borderId="5" xfId="0" applyNumberFormat="1" applyFont="1" applyBorder="1"/>
    <xf numFmtId="170" fontId="0" fillId="0" borderId="0" xfId="0" applyNumberFormat="1"/>
    <xf numFmtId="170" fontId="0" fillId="0" borderId="5" xfId="0" applyNumberFormat="1" applyBorder="1"/>
    <xf numFmtId="170" fontId="3" fillId="0" borderId="7" xfId="0" applyNumberFormat="1" applyFont="1" applyBorder="1"/>
    <xf numFmtId="170" fontId="3" fillId="0" borderId="8" xfId="0" applyNumberFormat="1" applyFont="1" applyBorder="1"/>
    <xf numFmtId="170" fontId="0" fillId="0" borderId="7" xfId="0" applyNumberFormat="1" applyBorder="1"/>
    <xf numFmtId="170" fontId="0" fillId="0" borderId="8" xfId="0" applyNumberFormat="1" applyBorder="1"/>
    <xf numFmtId="170" fontId="3" fillId="0" borderId="10" xfId="0" applyNumberFormat="1" applyFont="1" applyBorder="1"/>
    <xf numFmtId="170" fontId="3" fillId="0" borderId="11" xfId="0" applyNumberFormat="1" applyFont="1" applyBorder="1"/>
    <xf numFmtId="170" fontId="3" fillId="0" borderId="2" xfId="0" applyNumberFormat="1" applyFont="1" applyBorder="1"/>
    <xf numFmtId="170" fontId="3" fillId="0" borderId="3" xfId="0" applyNumberFormat="1" applyFont="1" applyBorder="1"/>
    <xf numFmtId="171" fontId="0" fillId="0" borderId="0" xfId="0" applyNumberFormat="1"/>
    <xf numFmtId="171" fontId="0" fillId="0" borderId="5" xfId="0" applyNumberFormat="1" applyBorder="1"/>
    <xf numFmtId="172" fontId="0" fillId="0" borderId="0" xfId="0" applyNumberFormat="1"/>
    <xf numFmtId="173" fontId="0" fillId="0" borderId="0" xfId="0" applyNumberFormat="1"/>
    <xf numFmtId="173" fontId="0" fillId="0" borderId="5" xfId="0" applyNumberFormat="1" applyBorder="1"/>
    <xf numFmtId="173" fontId="0" fillId="0" borderId="7" xfId="0" applyNumberFormat="1" applyBorder="1"/>
    <xf numFmtId="173" fontId="0" fillId="0" borderId="8" xfId="0" applyNumberFormat="1" applyBorder="1"/>
    <xf numFmtId="168" fontId="0" fillId="0" borderId="0" xfId="0" applyNumberFormat="1"/>
    <xf numFmtId="3" fontId="8" fillId="0" borderId="0" xfId="0" applyNumberFormat="1" applyFont="1"/>
    <xf numFmtId="0" fontId="3" fillId="0" borderId="0" xfId="0" applyFont="1" applyAlignment="1">
      <alignment horizontal="right"/>
    </xf>
    <xf numFmtId="0" fontId="7" fillId="0" borderId="5" xfId="0" applyFont="1" applyBorder="1" applyAlignment="1">
      <alignment horizontal="right"/>
    </xf>
    <xf numFmtId="3" fontId="8" fillId="0" borderId="5" xfId="0" applyNumberFormat="1" applyFont="1" applyBorder="1"/>
    <xf numFmtId="0" fontId="8" fillId="0" borderId="5" xfId="0" applyFont="1" applyBorder="1"/>
    <xf numFmtId="168" fontId="8" fillId="0" borderId="0" xfId="0" applyNumberFormat="1" applyFont="1"/>
    <xf numFmtId="168" fontId="8" fillId="0" borderId="5" xfId="0" applyNumberFormat="1" applyFont="1" applyBorder="1"/>
    <xf numFmtId="168" fontId="0" fillId="0" borderId="5" xfId="0" applyNumberFormat="1" applyBorder="1"/>
    <xf numFmtId="168" fontId="3" fillId="0" borderId="0" xfId="0" applyNumberFormat="1" applyFont="1"/>
    <xf numFmtId="168" fontId="3" fillId="0" borderId="5" xfId="0" applyNumberFormat="1" applyFont="1" applyBorder="1"/>
    <xf numFmtId="0" fontId="8" fillId="0" borderId="7" xfId="0" applyFont="1" applyBorder="1"/>
    <xf numFmtId="168" fontId="7" fillId="0" borderId="7" xfId="0" applyNumberFormat="1" applyFont="1" applyBorder="1"/>
    <xf numFmtId="168" fontId="7" fillId="0" borderId="8" xfId="0" applyNumberFormat="1" applyFont="1" applyBorder="1"/>
    <xf numFmtId="0" fontId="0" fillId="0" borderId="0" xfId="0" applyAlignment="1">
      <alignment horizontal="center"/>
    </xf>
    <xf numFmtId="0" fontId="0" fillId="6" borderId="7" xfId="0" applyFill="1" applyBorder="1"/>
    <xf numFmtId="0" fontId="2" fillId="2" borderId="4" xfId="0" applyFont="1" applyFill="1" applyBorder="1"/>
    <xf numFmtId="0" fontId="2" fillId="2" borderId="0" xfId="0" applyFont="1" applyFill="1"/>
    <xf numFmtId="166" fontId="3" fillId="0" borderId="0" xfId="1" applyNumberFormat="1" applyFont="1" applyFill="1" applyBorder="1"/>
    <xf numFmtId="166" fontId="3" fillId="0" borderId="0" xfId="1" applyNumberFormat="1" applyFont="1" applyFill="1" applyBorder="1" applyAlignment="1"/>
    <xf numFmtId="0" fontId="2" fillId="0" borderId="0" xfId="0" applyFont="1" applyAlignment="1">
      <alignment vertical="center"/>
    </xf>
    <xf numFmtId="0" fontId="16" fillId="0" borderId="0" xfId="0" applyFont="1" applyAlignment="1">
      <alignment horizontal="center"/>
    </xf>
    <xf numFmtId="4" fontId="17" fillId="0" borderId="0" xfId="1" applyNumberFormat="1" applyFont="1" applyFill="1" applyBorder="1" applyAlignment="1">
      <alignment horizontal="center"/>
    </xf>
    <xf numFmtId="0" fontId="17" fillId="0" borderId="0" xfId="0" applyFont="1" applyAlignment="1">
      <alignment horizontal="center" vertical="center"/>
    </xf>
    <xf numFmtId="0" fontId="17" fillId="0" borderId="0" xfId="0" applyFont="1"/>
    <xf numFmtId="166" fontId="2" fillId="0" borderId="0" xfId="1" applyNumberFormat="1" applyFont="1" applyFill="1" applyBorder="1"/>
    <xf numFmtId="2" fontId="4" fillId="0" borderId="0" xfId="0" applyNumberFormat="1" applyFont="1"/>
    <xf numFmtId="172" fontId="0" fillId="0" borderId="7" xfId="0" applyNumberFormat="1" applyBorder="1"/>
    <xf numFmtId="172" fontId="0" fillId="0" borderId="5" xfId="0" applyNumberFormat="1" applyBorder="1"/>
    <xf numFmtId="172" fontId="0" fillId="0" borderId="8" xfId="0" applyNumberFormat="1" applyBorder="1"/>
    <xf numFmtId="9" fontId="0" fillId="0" borderId="0" xfId="1" applyFont="1" applyBorder="1"/>
    <xf numFmtId="9" fontId="0" fillId="0" borderId="5" xfId="1" applyFont="1" applyBorder="1"/>
    <xf numFmtId="0" fontId="2" fillId="2" borderId="0" xfId="0" applyFont="1" applyFill="1" applyAlignment="1">
      <alignment horizontal="center"/>
    </xf>
    <xf numFmtId="0" fontId="2" fillId="6" borderId="0" xfId="0" applyFont="1" applyFill="1" applyAlignment="1">
      <alignment horizontal="center"/>
    </xf>
    <xf numFmtId="0" fontId="2" fillId="6" borderId="5" xfId="0" applyFont="1" applyFill="1" applyBorder="1" applyAlignment="1">
      <alignment horizontal="center"/>
    </xf>
    <xf numFmtId="0" fontId="0" fillId="0" borderId="0" xfId="0"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7" fillId="4" borderId="10" xfId="0" applyFont="1" applyFill="1" applyBorder="1" applyAlignment="1">
      <alignment horizontal="center"/>
    </xf>
    <xf numFmtId="0" fontId="7" fillId="4" borderId="11" xfId="0" applyFont="1" applyFill="1" applyBorder="1" applyAlignment="1">
      <alignment horizontal="center"/>
    </xf>
    <xf numFmtId="0" fontId="7" fillId="4" borderId="7" xfId="0" applyFont="1" applyFill="1" applyBorder="1" applyAlignment="1">
      <alignment horizontal="center"/>
    </xf>
    <xf numFmtId="0" fontId="7" fillId="4" borderId="8" xfId="0" applyFont="1" applyFill="1" applyBorder="1" applyAlignment="1">
      <alignment horizontal="center"/>
    </xf>
    <xf numFmtId="0" fontId="0" fillId="0" borderId="4" xfId="0" applyBorder="1" applyAlignment="1">
      <alignment horizontal="left"/>
    </xf>
    <xf numFmtId="0" fontId="0" fillId="0" borderId="0" xfId="0" applyAlignment="1">
      <alignment horizontal="left"/>
    </xf>
    <xf numFmtId="0" fontId="7" fillId="0" borderId="0" xfId="0" applyFont="1" applyAlignment="1">
      <alignment horizontal="center"/>
    </xf>
    <xf numFmtId="0" fontId="7" fillId="0" borderId="5" xfId="0" applyFont="1" applyBorder="1" applyAlignment="1">
      <alignment horizontal="center"/>
    </xf>
    <xf numFmtId="166" fontId="0" fillId="0" borderId="0" xfId="1" applyNumberFormat="1" applyFont="1" applyFill="1" applyBorder="1" applyAlignment="1">
      <alignment horizontal="center"/>
    </xf>
    <xf numFmtId="0" fontId="7" fillId="0" borderId="4" xfId="0" applyFont="1" applyBorder="1" applyAlignment="1">
      <alignment horizontal="left"/>
    </xf>
    <xf numFmtId="0" fontId="7" fillId="0" borderId="0" xfId="0" applyFont="1" applyAlignment="1">
      <alignment horizontal="left"/>
    </xf>
    <xf numFmtId="10" fontId="0" fillId="4" borderId="0" xfId="1" applyNumberFormat="1" applyFont="1" applyFill="1" applyBorder="1" applyAlignment="1">
      <alignment horizontal="center"/>
    </xf>
    <xf numFmtId="166" fontId="0" fillId="4" borderId="0" xfId="1" applyNumberFormat="1" applyFont="1" applyFill="1" applyBorder="1" applyAlignment="1">
      <alignment horizontal="center"/>
    </xf>
    <xf numFmtId="0" fontId="2" fillId="6" borderId="4" xfId="0" applyFont="1" applyFill="1" applyBorder="1" applyAlignment="1">
      <alignment horizontal="left"/>
    </xf>
    <xf numFmtId="0" fontId="2" fillId="6" borderId="0" xfId="0" applyFont="1" applyFill="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166" fontId="0" fillId="0" borderId="5" xfId="1" applyNumberFormat="1" applyFont="1" applyFill="1" applyBorder="1" applyAlignment="1">
      <alignment horizontal="center"/>
    </xf>
    <xf numFmtId="3" fontId="0" fillId="0" borderId="0" xfId="0" applyNumberFormat="1" applyAlignment="1">
      <alignment horizontal="center"/>
    </xf>
    <xf numFmtId="3" fontId="0" fillId="0" borderId="5" xfId="0" applyNumberFormat="1" applyBorder="1" applyAlignment="1">
      <alignment horizontal="center"/>
    </xf>
    <xf numFmtId="2" fontId="3" fillId="0" borderId="7" xfId="0" applyNumberFormat="1" applyFont="1" applyBorder="1" applyAlignment="1">
      <alignment horizontal="center"/>
    </xf>
    <xf numFmtId="2" fontId="3" fillId="0" borderId="8" xfId="0" applyNumberFormat="1" applyFont="1" applyBorder="1" applyAlignment="1">
      <alignment horizontal="center"/>
    </xf>
    <xf numFmtId="0" fontId="2" fillId="2" borderId="2" xfId="0" applyFont="1" applyFill="1" applyBorder="1" applyAlignment="1">
      <alignment horizontal="center"/>
    </xf>
    <xf numFmtId="169" fontId="0" fillId="0" borderId="7" xfId="1" applyNumberFormat="1" applyFont="1" applyBorder="1" applyAlignment="1">
      <alignment horizontal="center"/>
    </xf>
    <xf numFmtId="169" fontId="0" fillId="0" borderId="8" xfId="1" applyNumberFormat="1" applyFont="1" applyBorder="1" applyAlignment="1">
      <alignment horizontal="center"/>
    </xf>
    <xf numFmtId="2" fontId="0" fillId="0" borderId="0" xfId="0" applyNumberFormat="1" applyAlignment="1">
      <alignment horizontal="center"/>
    </xf>
    <xf numFmtId="2" fontId="0" fillId="0" borderId="5" xfId="0" applyNumberFormat="1" applyBorder="1" applyAlignment="1">
      <alignment horizontal="center"/>
    </xf>
    <xf numFmtId="3" fontId="0" fillId="0" borderId="7" xfId="0" applyNumberFormat="1" applyBorder="1" applyAlignment="1">
      <alignment horizontal="center"/>
    </xf>
    <xf numFmtId="167"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center"/>
    </xf>
    <xf numFmtId="0" fontId="2" fillId="2" borderId="3" xfId="0" applyFont="1" applyFill="1" applyBorder="1" applyAlignment="1">
      <alignment horizontal="center"/>
    </xf>
    <xf numFmtId="0" fontId="3" fillId="0" borderId="5" xfId="0" applyFont="1" applyBorder="1" applyAlignment="1">
      <alignment horizontal="center"/>
    </xf>
    <xf numFmtId="2" fontId="0" fillId="0" borderId="7" xfId="0" applyNumberFormat="1" applyBorder="1" applyAlignment="1">
      <alignment horizontal="center"/>
    </xf>
    <xf numFmtId="2" fontId="3" fillId="0" borderId="0" xfId="0" applyNumberFormat="1" applyFont="1" applyAlignment="1">
      <alignment horizontal="center"/>
    </xf>
    <xf numFmtId="0" fontId="2" fillId="2" borderId="0" xfId="0" applyFont="1" applyFill="1" applyAlignment="1">
      <alignment horizontal="center" vertical="center"/>
    </xf>
    <xf numFmtId="10" fontId="1" fillId="0" borderId="0" xfId="1" applyNumberFormat="1" applyFont="1" applyBorder="1" applyAlignment="1">
      <alignment horizontal="center"/>
    </xf>
    <xf numFmtId="2" fontId="0" fillId="4" borderId="0" xfId="0" applyNumberFormat="1" applyFill="1" applyAlignment="1">
      <alignment horizontal="center"/>
    </xf>
    <xf numFmtId="0" fontId="2" fillId="2" borderId="0" xfId="0" applyFont="1" applyFill="1" applyAlignment="1">
      <alignment horizontal="center" vertical="center" wrapText="1"/>
    </xf>
    <xf numFmtId="0" fontId="2" fillId="2" borderId="2" xfId="0" applyFont="1" applyFill="1" applyBorder="1" applyAlignment="1">
      <alignment horizontal="center" vertical="center"/>
    </xf>
    <xf numFmtId="10" fontId="3" fillId="0" borderId="0" xfId="1" applyNumberFormat="1" applyFont="1" applyBorder="1" applyAlignment="1">
      <alignment horizontal="center"/>
    </xf>
    <xf numFmtId="2" fontId="0" fillId="4" borderId="5" xfId="0" applyNumberFormat="1" applyFill="1" applyBorder="1" applyAlignment="1">
      <alignment horizontal="center"/>
    </xf>
    <xf numFmtId="0" fontId="2" fillId="2" borderId="5" xfId="0" applyFont="1" applyFill="1" applyBorder="1" applyAlignment="1">
      <alignment horizontal="center" vertical="center"/>
    </xf>
    <xf numFmtId="2" fontId="0" fillId="4" borderId="7" xfId="0" applyNumberFormat="1" applyFill="1" applyBorder="1" applyAlignment="1">
      <alignment horizontal="center"/>
    </xf>
    <xf numFmtId="2" fontId="0" fillId="4" borderId="8" xfId="0" applyNumberFormat="1" applyFill="1" applyBorder="1" applyAlignment="1">
      <alignment horizontal="center"/>
    </xf>
    <xf numFmtId="10" fontId="0" fillId="4" borderId="5" xfId="1" applyNumberFormat="1" applyFont="1" applyFill="1" applyBorder="1" applyAlignment="1">
      <alignment horizont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174" fontId="0" fillId="0" borderId="0" xfId="0" applyNumberFormat="1"/>
    <xf numFmtId="175" fontId="0" fillId="0" borderId="0" xfId="0" applyNumberFormat="1"/>
    <xf numFmtId="174" fontId="0" fillId="0" borderId="12" xfId="0" applyNumberFormat="1" applyBorder="1"/>
    <xf numFmtId="174" fontId="0" fillId="0" borderId="13" xfId="0" applyNumberFormat="1" applyBorder="1"/>
    <xf numFmtId="174" fontId="3" fillId="0" borderId="0" xfId="0" applyNumberFormat="1" applyFont="1"/>
    <xf numFmtId="10" fontId="0" fillId="0" borderId="12" xfId="0" applyNumberFormat="1" applyBorder="1"/>
    <xf numFmtId="14" fontId="0" fillId="0" borderId="12" xfId="0" applyNumberFormat="1" applyBorder="1"/>
    <xf numFmtId="0" fontId="18" fillId="9" borderId="0" xfId="0" applyFont="1" applyFill="1"/>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FFCC00"/>
      <color rgb="FF9F5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CA" sz="1200"/>
              <a:t>Stock Price 2013-2022</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Data!$B$6:$B$1262</c:f>
              <c:strCache>
                <c:ptCount val="1257"/>
                <c:pt idx="0">
                  <c:v>2026-07-15</c:v>
                </c:pt>
                <c:pt idx="1">
                  <c:v>2026-07-14</c:v>
                </c:pt>
                <c:pt idx="2">
                  <c:v>2026-07-13</c:v>
                </c:pt>
                <c:pt idx="3">
                  <c:v>2026-07-10</c:v>
                </c:pt>
                <c:pt idx="4">
                  <c:v>2026-07-09</c:v>
                </c:pt>
                <c:pt idx="5">
                  <c:v>2026-07-08</c:v>
                </c:pt>
                <c:pt idx="6">
                  <c:v>2026-07-07</c:v>
                </c:pt>
                <c:pt idx="7">
                  <c:v>2026-07-06</c:v>
                </c:pt>
                <c:pt idx="8">
                  <c:v>2026-07-02</c:v>
                </c:pt>
                <c:pt idx="9">
                  <c:v>2026-07-01</c:v>
                </c:pt>
                <c:pt idx="10">
                  <c:v>2026-06-30</c:v>
                </c:pt>
                <c:pt idx="11">
                  <c:v>2026-06-29</c:v>
                </c:pt>
                <c:pt idx="12">
                  <c:v>2026-06-26</c:v>
                </c:pt>
                <c:pt idx="13">
                  <c:v>2026-06-25</c:v>
                </c:pt>
                <c:pt idx="14">
                  <c:v>2026-06-24</c:v>
                </c:pt>
                <c:pt idx="15">
                  <c:v>2026-06-23</c:v>
                </c:pt>
                <c:pt idx="16">
                  <c:v>2026-06-22</c:v>
                </c:pt>
                <c:pt idx="17">
                  <c:v>2026-06-18</c:v>
                </c:pt>
                <c:pt idx="18">
                  <c:v>2026-06-17</c:v>
                </c:pt>
                <c:pt idx="19">
                  <c:v>2026-06-16</c:v>
                </c:pt>
                <c:pt idx="20">
                  <c:v>2026-06-15</c:v>
                </c:pt>
                <c:pt idx="21">
                  <c:v>2026-06-12</c:v>
                </c:pt>
                <c:pt idx="22">
                  <c:v>2026-06-11</c:v>
                </c:pt>
                <c:pt idx="23">
                  <c:v>2026-06-10</c:v>
                </c:pt>
                <c:pt idx="24">
                  <c:v>2026-06-09</c:v>
                </c:pt>
                <c:pt idx="25">
                  <c:v>2026-06-08</c:v>
                </c:pt>
                <c:pt idx="26">
                  <c:v>2026-06-05</c:v>
                </c:pt>
                <c:pt idx="27">
                  <c:v>2026-06-04</c:v>
                </c:pt>
                <c:pt idx="28">
                  <c:v>2026-06-03</c:v>
                </c:pt>
                <c:pt idx="29">
                  <c:v>2026-06-02</c:v>
                </c:pt>
                <c:pt idx="30">
                  <c:v>2026-06-01</c:v>
                </c:pt>
                <c:pt idx="31">
                  <c:v>2026-05-29</c:v>
                </c:pt>
                <c:pt idx="32">
                  <c:v>2026-05-28</c:v>
                </c:pt>
                <c:pt idx="33">
                  <c:v>2026-05-27</c:v>
                </c:pt>
                <c:pt idx="34">
                  <c:v>2026-05-26</c:v>
                </c:pt>
                <c:pt idx="35">
                  <c:v>2026-05-22</c:v>
                </c:pt>
                <c:pt idx="36">
                  <c:v>2026-05-21</c:v>
                </c:pt>
                <c:pt idx="37">
                  <c:v>2026-05-20</c:v>
                </c:pt>
                <c:pt idx="38">
                  <c:v>2026-05-19</c:v>
                </c:pt>
                <c:pt idx="39">
                  <c:v>2026-05-18</c:v>
                </c:pt>
                <c:pt idx="40">
                  <c:v>2026-05-15</c:v>
                </c:pt>
                <c:pt idx="41">
                  <c:v>2026-05-14</c:v>
                </c:pt>
                <c:pt idx="42">
                  <c:v>2026-05-13</c:v>
                </c:pt>
                <c:pt idx="43">
                  <c:v>2026-05-12</c:v>
                </c:pt>
                <c:pt idx="44">
                  <c:v>2026-05-11</c:v>
                </c:pt>
                <c:pt idx="45">
                  <c:v>2026-05-08</c:v>
                </c:pt>
                <c:pt idx="46">
                  <c:v>2026-05-07</c:v>
                </c:pt>
                <c:pt idx="47">
                  <c:v>2026-05-06</c:v>
                </c:pt>
                <c:pt idx="48">
                  <c:v>2026-05-05</c:v>
                </c:pt>
                <c:pt idx="49">
                  <c:v>2026-05-04</c:v>
                </c:pt>
                <c:pt idx="50">
                  <c:v>2026-05-01</c:v>
                </c:pt>
                <c:pt idx="51">
                  <c:v>2026-04-30</c:v>
                </c:pt>
                <c:pt idx="52">
                  <c:v>2026-04-29</c:v>
                </c:pt>
                <c:pt idx="53">
                  <c:v>2026-04-28</c:v>
                </c:pt>
                <c:pt idx="54">
                  <c:v>2026-04-27</c:v>
                </c:pt>
                <c:pt idx="55">
                  <c:v>2026-04-24</c:v>
                </c:pt>
                <c:pt idx="56">
                  <c:v>2026-04-23</c:v>
                </c:pt>
                <c:pt idx="57">
                  <c:v>2026-04-22</c:v>
                </c:pt>
                <c:pt idx="58">
                  <c:v>2026-04-21</c:v>
                </c:pt>
                <c:pt idx="59">
                  <c:v>2026-04-20</c:v>
                </c:pt>
                <c:pt idx="60">
                  <c:v>2026-04-17</c:v>
                </c:pt>
                <c:pt idx="61">
                  <c:v>2026-04-16</c:v>
                </c:pt>
                <c:pt idx="62">
                  <c:v>2026-04-15</c:v>
                </c:pt>
                <c:pt idx="63">
                  <c:v>2026-04-14</c:v>
                </c:pt>
                <c:pt idx="64">
                  <c:v>2026-04-13</c:v>
                </c:pt>
                <c:pt idx="65">
                  <c:v>2026-04-10</c:v>
                </c:pt>
                <c:pt idx="66">
                  <c:v>2026-04-09</c:v>
                </c:pt>
                <c:pt idx="67">
                  <c:v>2026-04-08</c:v>
                </c:pt>
                <c:pt idx="68">
                  <c:v>2026-04-07</c:v>
                </c:pt>
                <c:pt idx="69">
                  <c:v>2026-04-06</c:v>
                </c:pt>
                <c:pt idx="70">
                  <c:v>2026-04-02</c:v>
                </c:pt>
                <c:pt idx="71">
                  <c:v>2026-04-01</c:v>
                </c:pt>
                <c:pt idx="72">
                  <c:v>2026-03-31</c:v>
                </c:pt>
                <c:pt idx="73">
                  <c:v>2026-03-30</c:v>
                </c:pt>
                <c:pt idx="74">
                  <c:v>2026-03-27</c:v>
                </c:pt>
                <c:pt idx="75">
                  <c:v>2026-03-26</c:v>
                </c:pt>
                <c:pt idx="76">
                  <c:v>2026-03-25</c:v>
                </c:pt>
                <c:pt idx="77">
                  <c:v>2026-03-24</c:v>
                </c:pt>
                <c:pt idx="78">
                  <c:v>2026-03-23</c:v>
                </c:pt>
                <c:pt idx="79">
                  <c:v>2026-03-20</c:v>
                </c:pt>
                <c:pt idx="80">
                  <c:v>2026-03-19</c:v>
                </c:pt>
                <c:pt idx="81">
                  <c:v>2026-03-18</c:v>
                </c:pt>
                <c:pt idx="82">
                  <c:v>2026-03-17</c:v>
                </c:pt>
                <c:pt idx="83">
                  <c:v>2026-03-16</c:v>
                </c:pt>
                <c:pt idx="84">
                  <c:v>2026-03-13</c:v>
                </c:pt>
                <c:pt idx="85">
                  <c:v>2026-03-12</c:v>
                </c:pt>
                <c:pt idx="86">
                  <c:v>2026-03-11</c:v>
                </c:pt>
                <c:pt idx="87">
                  <c:v>2026-03-10</c:v>
                </c:pt>
                <c:pt idx="88">
                  <c:v>2026-03-09</c:v>
                </c:pt>
                <c:pt idx="89">
                  <c:v>2026-03-06</c:v>
                </c:pt>
                <c:pt idx="90">
                  <c:v>2026-03-05</c:v>
                </c:pt>
                <c:pt idx="91">
                  <c:v>2026-03-04</c:v>
                </c:pt>
                <c:pt idx="92">
                  <c:v>2026-03-03</c:v>
                </c:pt>
                <c:pt idx="93">
                  <c:v>2026-03-02</c:v>
                </c:pt>
                <c:pt idx="94">
                  <c:v>2026-02-27</c:v>
                </c:pt>
                <c:pt idx="95">
                  <c:v>2026-02-26</c:v>
                </c:pt>
                <c:pt idx="96">
                  <c:v>2026-02-25</c:v>
                </c:pt>
                <c:pt idx="97">
                  <c:v>2026-02-24</c:v>
                </c:pt>
                <c:pt idx="98">
                  <c:v>2026-02-23</c:v>
                </c:pt>
                <c:pt idx="99">
                  <c:v>2026-02-20</c:v>
                </c:pt>
                <c:pt idx="100">
                  <c:v>2026-02-19</c:v>
                </c:pt>
                <c:pt idx="101">
                  <c:v>2026-02-18</c:v>
                </c:pt>
                <c:pt idx="102">
                  <c:v>2026-02-17</c:v>
                </c:pt>
                <c:pt idx="103">
                  <c:v>2026-02-13</c:v>
                </c:pt>
                <c:pt idx="104">
                  <c:v>2026-02-12</c:v>
                </c:pt>
                <c:pt idx="105">
                  <c:v>2026-02-11</c:v>
                </c:pt>
                <c:pt idx="106">
                  <c:v>2026-02-10</c:v>
                </c:pt>
                <c:pt idx="107">
                  <c:v>2026-02-09</c:v>
                </c:pt>
                <c:pt idx="108">
                  <c:v>2026-02-06</c:v>
                </c:pt>
                <c:pt idx="109">
                  <c:v>2026-02-05</c:v>
                </c:pt>
                <c:pt idx="110">
                  <c:v>2026-02-04</c:v>
                </c:pt>
                <c:pt idx="111">
                  <c:v>2026-02-03</c:v>
                </c:pt>
                <c:pt idx="112">
                  <c:v>2026-02-02</c:v>
                </c:pt>
                <c:pt idx="113">
                  <c:v>2026-01-30</c:v>
                </c:pt>
                <c:pt idx="114">
                  <c:v>2026-01-29</c:v>
                </c:pt>
                <c:pt idx="115">
                  <c:v>2026-01-28</c:v>
                </c:pt>
                <c:pt idx="116">
                  <c:v>2026-01-27</c:v>
                </c:pt>
                <c:pt idx="117">
                  <c:v>2026-01-26</c:v>
                </c:pt>
                <c:pt idx="118">
                  <c:v>2026-01-23</c:v>
                </c:pt>
                <c:pt idx="119">
                  <c:v>2026-01-22</c:v>
                </c:pt>
                <c:pt idx="120">
                  <c:v>2026-01-21</c:v>
                </c:pt>
                <c:pt idx="121">
                  <c:v>2026-01-20</c:v>
                </c:pt>
                <c:pt idx="122">
                  <c:v>2026-01-16</c:v>
                </c:pt>
                <c:pt idx="123">
                  <c:v>2026-01-15</c:v>
                </c:pt>
                <c:pt idx="124">
                  <c:v>2026-01-14</c:v>
                </c:pt>
                <c:pt idx="125">
                  <c:v>2026-01-13</c:v>
                </c:pt>
                <c:pt idx="126">
                  <c:v>2026-01-12</c:v>
                </c:pt>
                <c:pt idx="127">
                  <c:v>2026-01-09</c:v>
                </c:pt>
                <c:pt idx="128">
                  <c:v>2026-01-08</c:v>
                </c:pt>
                <c:pt idx="129">
                  <c:v>2026-01-07</c:v>
                </c:pt>
                <c:pt idx="130">
                  <c:v>2026-01-06</c:v>
                </c:pt>
                <c:pt idx="131">
                  <c:v>2026-01-05</c:v>
                </c:pt>
                <c:pt idx="132">
                  <c:v>2026-01-02</c:v>
                </c:pt>
                <c:pt idx="133">
                  <c:v>2025-12-31</c:v>
                </c:pt>
                <c:pt idx="134">
                  <c:v>2025-12-30</c:v>
                </c:pt>
                <c:pt idx="135">
                  <c:v>2025-12-29</c:v>
                </c:pt>
                <c:pt idx="136">
                  <c:v>2025-12-26</c:v>
                </c:pt>
                <c:pt idx="137">
                  <c:v>2025-12-24</c:v>
                </c:pt>
                <c:pt idx="138">
                  <c:v>2025-12-23</c:v>
                </c:pt>
                <c:pt idx="139">
                  <c:v>2025-12-22</c:v>
                </c:pt>
                <c:pt idx="140">
                  <c:v>2025-12-19</c:v>
                </c:pt>
                <c:pt idx="141">
                  <c:v>2025-12-18</c:v>
                </c:pt>
                <c:pt idx="142">
                  <c:v>2025-12-17</c:v>
                </c:pt>
                <c:pt idx="143">
                  <c:v>2025-12-16</c:v>
                </c:pt>
                <c:pt idx="144">
                  <c:v>2025-12-15</c:v>
                </c:pt>
                <c:pt idx="145">
                  <c:v>2025-12-12</c:v>
                </c:pt>
                <c:pt idx="146">
                  <c:v>2025-12-11</c:v>
                </c:pt>
                <c:pt idx="147">
                  <c:v>2025-12-10</c:v>
                </c:pt>
                <c:pt idx="148">
                  <c:v>2025-12-09</c:v>
                </c:pt>
                <c:pt idx="149">
                  <c:v>2025-12-08</c:v>
                </c:pt>
                <c:pt idx="150">
                  <c:v>2025-12-05</c:v>
                </c:pt>
                <c:pt idx="151">
                  <c:v>2025-12-04</c:v>
                </c:pt>
                <c:pt idx="152">
                  <c:v>2025-12-03</c:v>
                </c:pt>
                <c:pt idx="153">
                  <c:v>2025-12-02</c:v>
                </c:pt>
                <c:pt idx="154">
                  <c:v>2025-12-01</c:v>
                </c:pt>
                <c:pt idx="155">
                  <c:v>2025-11-28</c:v>
                </c:pt>
                <c:pt idx="156">
                  <c:v>2025-11-26</c:v>
                </c:pt>
                <c:pt idx="157">
                  <c:v>2025-11-25</c:v>
                </c:pt>
                <c:pt idx="158">
                  <c:v>2025-11-24</c:v>
                </c:pt>
                <c:pt idx="159">
                  <c:v>2025-11-21</c:v>
                </c:pt>
                <c:pt idx="160">
                  <c:v>2025-11-20</c:v>
                </c:pt>
                <c:pt idx="161">
                  <c:v>2025-11-19</c:v>
                </c:pt>
                <c:pt idx="162">
                  <c:v>2025-11-18</c:v>
                </c:pt>
                <c:pt idx="163">
                  <c:v>2025-11-17</c:v>
                </c:pt>
                <c:pt idx="164">
                  <c:v>2025-11-14</c:v>
                </c:pt>
                <c:pt idx="165">
                  <c:v>2025-11-13</c:v>
                </c:pt>
                <c:pt idx="166">
                  <c:v>2025-11-12</c:v>
                </c:pt>
                <c:pt idx="167">
                  <c:v>2025-11-11</c:v>
                </c:pt>
                <c:pt idx="168">
                  <c:v>2025-11-10</c:v>
                </c:pt>
                <c:pt idx="169">
                  <c:v>2025-11-07</c:v>
                </c:pt>
                <c:pt idx="170">
                  <c:v>2025-11-06</c:v>
                </c:pt>
                <c:pt idx="171">
                  <c:v>2025-11-05</c:v>
                </c:pt>
                <c:pt idx="172">
                  <c:v>2025-11-04</c:v>
                </c:pt>
                <c:pt idx="173">
                  <c:v>2025-11-03</c:v>
                </c:pt>
                <c:pt idx="174">
                  <c:v>2025-10-31</c:v>
                </c:pt>
                <c:pt idx="175">
                  <c:v>2025-10-30</c:v>
                </c:pt>
                <c:pt idx="176">
                  <c:v>2025-10-29</c:v>
                </c:pt>
                <c:pt idx="177">
                  <c:v>2025-10-28</c:v>
                </c:pt>
                <c:pt idx="178">
                  <c:v>2025-10-27</c:v>
                </c:pt>
                <c:pt idx="179">
                  <c:v>2025-10-24</c:v>
                </c:pt>
                <c:pt idx="180">
                  <c:v>2025-10-23</c:v>
                </c:pt>
                <c:pt idx="181">
                  <c:v>2025-10-22</c:v>
                </c:pt>
                <c:pt idx="182">
                  <c:v>2025-10-21</c:v>
                </c:pt>
                <c:pt idx="183">
                  <c:v>2025-10-20</c:v>
                </c:pt>
                <c:pt idx="184">
                  <c:v>2025-10-17</c:v>
                </c:pt>
                <c:pt idx="185">
                  <c:v>2025-10-16</c:v>
                </c:pt>
                <c:pt idx="186">
                  <c:v>2025-10-15</c:v>
                </c:pt>
                <c:pt idx="187">
                  <c:v>2025-10-14</c:v>
                </c:pt>
                <c:pt idx="188">
                  <c:v>2025-10-13</c:v>
                </c:pt>
                <c:pt idx="189">
                  <c:v>2025-10-10</c:v>
                </c:pt>
                <c:pt idx="190">
                  <c:v>2025-10-09</c:v>
                </c:pt>
                <c:pt idx="191">
                  <c:v>2025-10-08</c:v>
                </c:pt>
                <c:pt idx="192">
                  <c:v>2025-10-07</c:v>
                </c:pt>
                <c:pt idx="193">
                  <c:v>2025-10-06</c:v>
                </c:pt>
                <c:pt idx="194">
                  <c:v>2025-10-03</c:v>
                </c:pt>
                <c:pt idx="195">
                  <c:v>2025-10-02</c:v>
                </c:pt>
                <c:pt idx="196">
                  <c:v>2025-10-01</c:v>
                </c:pt>
                <c:pt idx="197">
                  <c:v>2025-09-30</c:v>
                </c:pt>
                <c:pt idx="198">
                  <c:v>2025-09-29</c:v>
                </c:pt>
                <c:pt idx="199">
                  <c:v>2025-09-26</c:v>
                </c:pt>
                <c:pt idx="200">
                  <c:v>2025-09-25</c:v>
                </c:pt>
                <c:pt idx="201">
                  <c:v>2025-09-24</c:v>
                </c:pt>
                <c:pt idx="202">
                  <c:v>2025-09-23</c:v>
                </c:pt>
                <c:pt idx="203">
                  <c:v>2025-09-22</c:v>
                </c:pt>
                <c:pt idx="204">
                  <c:v>2025-09-19</c:v>
                </c:pt>
                <c:pt idx="205">
                  <c:v>2025-09-18</c:v>
                </c:pt>
                <c:pt idx="206">
                  <c:v>2025-09-17</c:v>
                </c:pt>
                <c:pt idx="207">
                  <c:v>2025-09-16</c:v>
                </c:pt>
                <c:pt idx="208">
                  <c:v>2025-09-15</c:v>
                </c:pt>
                <c:pt idx="209">
                  <c:v>2025-09-12</c:v>
                </c:pt>
                <c:pt idx="210">
                  <c:v>2025-09-11</c:v>
                </c:pt>
                <c:pt idx="211">
                  <c:v>2025-09-10</c:v>
                </c:pt>
                <c:pt idx="212">
                  <c:v>2025-09-09</c:v>
                </c:pt>
                <c:pt idx="213">
                  <c:v>2025-09-08</c:v>
                </c:pt>
                <c:pt idx="214">
                  <c:v>2025-09-05</c:v>
                </c:pt>
                <c:pt idx="215">
                  <c:v>2025-09-04</c:v>
                </c:pt>
                <c:pt idx="216">
                  <c:v>2025-09-03</c:v>
                </c:pt>
                <c:pt idx="217">
                  <c:v>2025-09-02</c:v>
                </c:pt>
                <c:pt idx="218">
                  <c:v>2025-08-29</c:v>
                </c:pt>
                <c:pt idx="219">
                  <c:v>2025-08-28</c:v>
                </c:pt>
                <c:pt idx="220">
                  <c:v>2025-08-27</c:v>
                </c:pt>
                <c:pt idx="221">
                  <c:v>2025-08-26</c:v>
                </c:pt>
                <c:pt idx="222">
                  <c:v>2025-08-25</c:v>
                </c:pt>
                <c:pt idx="223">
                  <c:v>2025-08-22</c:v>
                </c:pt>
                <c:pt idx="224">
                  <c:v>2025-08-21</c:v>
                </c:pt>
                <c:pt idx="225">
                  <c:v>2025-08-20</c:v>
                </c:pt>
                <c:pt idx="226">
                  <c:v>2025-08-19</c:v>
                </c:pt>
                <c:pt idx="227">
                  <c:v>2025-08-18</c:v>
                </c:pt>
                <c:pt idx="228">
                  <c:v>2025-08-15</c:v>
                </c:pt>
                <c:pt idx="229">
                  <c:v>2025-08-14</c:v>
                </c:pt>
                <c:pt idx="230">
                  <c:v>2025-08-13</c:v>
                </c:pt>
                <c:pt idx="231">
                  <c:v>2025-08-12</c:v>
                </c:pt>
                <c:pt idx="232">
                  <c:v>2025-08-11</c:v>
                </c:pt>
                <c:pt idx="233">
                  <c:v>2025-08-08</c:v>
                </c:pt>
                <c:pt idx="234">
                  <c:v>2025-08-07</c:v>
                </c:pt>
                <c:pt idx="235">
                  <c:v>2025-08-06</c:v>
                </c:pt>
                <c:pt idx="236">
                  <c:v>2025-08-05</c:v>
                </c:pt>
                <c:pt idx="237">
                  <c:v>2025-08-04</c:v>
                </c:pt>
                <c:pt idx="238">
                  <c:v>2025-08-01</c:v>
                </c:pt>
                <c:pt idx="239">
                  <c:v>2025-07-31</c:v>
                </c:pt>
                <c:pt idx="240">
                  <c:v>2025-07-30</c:v>
                </c:pt>
                <c:pt idx="241">
                  <c:v>2025-07-29</c:v>
                </c:pt>
                <c:pt idx="242">
                  <c:v>2025-07-28</c:v>
                </c:pt>
                <c:pt idx="243">
                  <c:v>2025-07-25</c:v>
                </c:pt>
                <c:pt idx="244">
                  <c:v>2025-07-24</c:v>
                </c:pt>
                <c:pt idx="245">
                  <c:v>2025-07-23</c:v>
                </c:pt>
                <c:pt idx="246">
                  <c:v>2025-07-22</c:v>
                </c:pt>
                <c:pt idx="247">
                  <c:v>2025-07-21</c:v>
                </c:pt>
                <c:pt idx="248">
                  <c:v>2025-07-18</c:v>
                </c:pt>
                <c:pt idx="249">
                  <c:v>2025-07-17</c:v>
                </c:pt>
                <c:pt idx="250">
                  <c:v>2025-07-16</c:v>
                </c:pt>
                <c:pt idx="251">
                  <c:v>2025-07-15</c:v>
                </c:pt>
                <c:pt idx="252">
                  <c:v>2025-07-14</c:v>
                </c:pt>
                <c:pt idx="253">
                  <c:v>2025-07-11</c:v>
                </c:pt>
                <c:pt idx="254">
                  <c:v>2025-07-10</c:v>
                </c:pt>
                <c:pt idx="255">
                  <c:v>2025-07-09</c:v>
                </c:pt>
                <c:pt idx="256">
                  <c:v>2025-07-08</c:v>
                </c:pt>
                <c:pt idx="257">
                  <c:v>2025-07-07</c:v>
                </c:pt>
                <c:pt idx="258">
                  <c:v>2025-07-03</c:v>
                </c:pt>
                <c:pt idx="259">
                  <c:v>2025-07-02</c:v>
                </c:pt>
                <c:pt idx="260">
                  <c:v>2025-07-01</c:v>
                </c:pt>
                <c:pt idx="261">
                  <c:v>2025-06-30</c:v>
                </c:pt>
                <c:pt idx="262">
                  <c:v>2025-06-27</c:v>
                </c:pt>
                <c:pt idx="263">
                  <c:v>2025-06-26</c:v>
                </c:pt>
                <c:pt idx="264">
                  <c:v>2025-06-25</c:v>
                </c:pt>
                <c:pt idx="265">
                  <c:v>2025-06-24</c:v>
                </c:pt>
                <c:pt idx="266">
                  <c:v>2025-06-23</c:v>
                </c:pt>
                <c:pt idx="267">
                  <c:v>2025-06-20</c:v>
                </c:pt>
                <c:pt idx="268">
                  <c:v>2025-06-18</c:v>
                </c:pt>
                <c:pt idx="269">
                  <c:v>2025-06-17</c:v>
                </c:pt>
                <c:pt idx="270">
                  <c:v>2025-06-16</c:v>
                </c:pt>
                <c:pt idx="271">
                  <c:v>2025-06-13</c:v>
                </c:pt>
                <c:pt idx="272">
                  <c:v>2025-06-12</c:v>
                </c:pt>
                <c:pt idx="273">
                  <c:v>2025-06-11</c:v>
                </c:pt>
                <c:pt idx="274">
                  <c:v>2025-06-10</c:v>
                </c:pt>
                <c:pt idx="275">
                  <c:v>2025-06-09</c:v>
                </c:pt>
                <c:pt idx="276">
                  <c:v>2025-06-06</c:v>
                </c:pt>
                <c:pt idx="277">
                  <c:v>2025-06-05</c:v>
                </c:pt>
                <c:pt idx="278">
                  <c:v>2025-06-04</c:v>
                </c:pt>
                <c:pt idx="279">
                  <c:v>2025-06-03</c:v>
                </c:pt>
                <c:pt idx="280">
                  <c:v>2025-06-02</c:v>
                </c:pt>
                <c:pt idx="281">
                  <c:v>2025-05-30</c:v>
                </c:pt>
                <c:pt idx="282">
                  <c:v>2025-05-29</c:v>
                </c:pt>
                <c:pt idx="283">
                  <c:v>2025-05-28</c:v>
                </c:pt>
                <c:pt idx="284">
                  <c:v>2025-05-27</c:v>
                </c:pt>
                <c:pt idx="285">
                  <c:v>2025-05-23</c:v>
                </c:pt>
                <c:pt idx="286">
                  <c:v>2025-05-22</c:v>
                </c:pt>
                <c:pt idx="287">
                  <c:v>2025-05-21</c:v>
                </c:pt>
                <c:pt idx="288">
                  <c:v>2025-05-20</c:v>
                </c:pt>
                <c:pt idx="289">
                  <c:v>2025-05-19</c:v>
                </c:pt>
                <c:pt idx="290">
                  <c:v>2025-05-16</c:v>
                </c:pt>
                <c:pt idx="291">
                  <c:v>2025-05-15</c:v>
                </c:pt>
                <c:pt idx="292">
                  <c:v>2025-05-14</c:v>
                </c:pt>
                <c:pt idx="293">
                  <c:v>2025-05-13</c:v>
                </c:pt>
                <c:pt idx="294">
                  <c:v>2025-05-12</c:v>
                </c:pt>
                <c:pt idx="295">
                  <c:v>2025-05-09</c:v>
                </c:pt>
                <c:pt idx="296">
                  <c:v>2025-05-08</c:v>
                </c:pt>
                <c:pt idx="297">
                  <c:v>2025-05-07</c:v>
                </c:pt>
                <c:pt idx="298">
                  <c:v>2025-05-06</c:v>
                </c:pt>
                <c:pt idx="299">
                  <c:v>2025-05-05</c:v>
                </c:pt>
                <c:pt idx="300">
                  <c:v>2025-05-02</c:v>
                </c:pt>
                <c:pt idx="301">
                  <c:v>2025-05-01</c:v>
                </c:pt>
                <c:pt idx="302">
                  <c:v>2025-04-30</c:v>
                </c:pt>
                <c:pt idx="303">
                  <c:v>2025-04-29</c:v>
                </c:pt>
                <c:pt idx="304">
                  <c:v>2025-04-28</c:v>
                </c:pt>
                <c:pt idx="305">
                  <c:v>2025-04-25</c:v>
                </c:pt>
                <c:pt idx="306">
                  <c:v>2025-04-24</c:v>
                </c:pt>
                <c:pt idx="307">
                  <c:v>2025-04-23</c:v>
                </c:pt>
                <c:pt idx="308">
                  <c:v>2025-04-22</c:v>
                </c:pt>
                <c:pt idx="309">
                  <c:v>2025-04-21</c:v>
                </c:pt>
                <c:pt idx="310">
                  <c:v>2025-04-17</c:v>
                </c:pt>
                <c:pt idx="311">
                  <c:v>2025-04-16</c:v>
                </c:pt>
                <c:pt idx="312">
                  <c:v>2025-04-15</c:v>
                </c:pt>
                <c:pt idx="313">
                  <c:v>2025-04-14</c:v>
                </c:pt>
                <c:pt idx="314">
                  <c:v>2025-04-11</c:v>
                </c:pt>
                <c:pt idx="315">
                  <c:v>2025-04-10</c:v>
                </c:pt>
                <c:pt idx="316">
                  <c:v>2025-04-09</c:v>
                </c:pt>
                <c:pt idx="317">
                  <c:v>2025-04-08</c:v>
                </c:pt>
                <c:pt idx="318">
                  <c:v>2025-04-07</c:v>
                </c:pt>
                <c:pt idx="319">
                  <c:v>2025-04-04</c:v>
                </c:pt>
                <c:pt idx="320">
                  <c:v>2025-04-03</c:v>
                </c:pt>
                <c:pt idx="321">
                  <c:v>2025-04-02</c:v>
                </c:pt>
                <c:pt idx="322">
                  <c:v>2025-04-01</c:v>
                </c:pt>
                <c:pt idx="323">
                  <c:v>2025-03-31</c:v>
                </c:pt>
                <c:pt idx="324">
                  <c:v>2025-03-28</c:v>
                </c:pt>
                <c:pt idx="325">
                  <c:v>2025-03-27</c:v>
                </c:pt>
                <c:pt idx="326">
                  <c:v>2025-03-26</c:v>
                </c:pt>
                <c:pt idx="327">
                  <c:v>2025-03-25</c:v>
                </c:pt>
                <c:pt idx="328">
                  <c:v>2025-03-24</c:v>
                </c:pt>
                <c:pt idx="329">
                  <c:v>2025-03-21</c:v>
                </c:pt>
                <c:pt idx="330">
                  <c:v>2025-03-20</c:v>
                </c:pt>
                <c:pt idx="331">
                  <c:v>2025-03-19</c:v>
                </c:pt>
                <c:pt idx="332">
                  <c:v>2025-03-18</c:v>
                </c:pt>
                <c:pt idx="333">
                  <c:v>2025-03-17</c:v>
                </c:pt>
                <c:pt idx="334">
                  <c:v>2025-03-14</c:v>
                </c:pt>
                <c:pt idx="335">
                  <c:v>2025-03-13</c:v>
                </c:pt>
                <c:pt idx="336">
                  <c:v>2025-03-12</c:v>
                </c:pt>
                <c:pt idx="337">
                  <c:v>2025-03-11</c:v>
                </c:pt>
                <c:pt idx="338">
                  <c:v>2025-03-10</c:v>
                </c:pt>
                <c:pt idx="339">
                  <c:v>2025-03-07</c:v>
                </c:pt>
                <c:pt idx="340">
                  <c:v>2025-03-06</c:v>
                </c:pt>
                <c:pt idx="341">
                  <c:v>2025-03-05</c:v>
                </c:pt>
                <c:pt idx="342">
                  <c:v>2025-03-04</c:v>
                </c:pt>
                <c:pt idx="343">
                  <c:v>2025-03-03</c:v>
                </c:pt>
                <c:pt idx="344">
                  <c:v>2025-02-28</c:v>
                </c:pt>
                <c:pt idx="345">
                  <c:v>2025-02-27</c:v>
                </c:pt>
                <c:pt idx="346">
                  <c:v>2025-02-26</c:v>
                </c:pt>
                <c:pt idx="347">
                  <c:v>2025-02-25</c:v>
                </c:pt>
                <c:pt idx="348">
                  <c:v>2025-02-24</c:v>
                </c:pt>
                <c:pt idx="349">
                  <c:v>2025-02-21</c:v>
                </c:pt>
                <c:pt idx="350">
                  <c:v>2025-02-20</c:v>
                </c:pt>
                <c:pt idx="351">
                  <c:v>2025-02-19</c:v>
                </c:pt>
                <c:pt idx="352">
                  <c:v>2025-02-18</c:v>
                </c:pt>
                <c:pt idx="353">
                  <c:v>2025-02-14</c:v>
                </c:pt>
                <c:pt idx="354">
                  <c:v>2025-02-13</c:v>
                </c:pt>
                <c:pt idx="355">
                  <c:v>2025-02-12</c:v>
                </c:pt>
                <c:pt idx="356">
                  <c:v>2025-02-11</c:v>
                </c:pt>
                <c:pt idx="357">
                  <c:v>2025-02-10</c:v>
                </c:pt>
                <c:pt idx="358">
                  <c:v>2025-02-07</c:v>
                </c:pt>
                <c:pt idx="359">
                  <c:v>2025-02-06</c:v>
                </c:pt>
                <c:pt idx="360">
                  <c:v>2025-02-05</c:v>
                </c:pt>
                <c:pt idx="361">
                  <c:v>2025-02-04</c:v>
                </c:pt>
                <c:pt idx="362">
                  <c:v>2025-02-03</c:v>
                </c:pt>
                <c:pt idx="363">
                  <c:v>2025-01-31</c:v>
                </c:pt>
                <c:pt idx="364">
                  <c:v>2025-01-30</c:v>
                </c:pt>
                <c:pt idx="365">
                  <c:v>2025-01-29</c:v>
                </c:pt>
                <c:pt idx="366">
                  <c:v>2025-01-28</c:v>
                </c:pt>
                <c:pt idx="367">
                  <c:v>2025-01-27</c:v>
                </c:pt>
                <c:pt idx="368">
                  <c:v>2025-01-24</c:v>
                </c:pt>
                <c:pt idx="369">
                  <c:v>2025-01-23</c:v>
                </c:pt>
                <c:pt idx="370">
                  <c:v>2025-01-22</c:v>
                </c:pt>
                <c:pt idx="371">
                  <c:v>2025-01-21</c:v>
                </c:pt>
                <c:pt idx="372">
                  <c:v>2025-01-17</c:v>
                </c:pt>
                <c:pt idx="373">
                  <c:v>2025-01-16</c:v>
                </c:pt>
                <c:pt idx="374">
                  <c:v>2025-01-15</c:v>
                </c:pt>
                <c:pt idx="375">
                  <c:v>2025-01-14</c:v>
                </c:pt>
                <c:pt idx="376">
                  <c:v>2025-01-13</c:v>
                </c:pt>
                <c:pt idx="377">
                  <c:v>2025-01-10</c:v>
                </c:pt>
                <c:pt idx="378">
                  <c:v>2025-01-08</c:v>
                </c:pt>
                <c:pt idx="379">
                  <c:v>2025-01-07</c:v>
                </c:pt>
                <c:pt idx="380">
                  <c:v>2025-01-06</c:v>
                </c:pt>
                <c:pt idx="381">
                  <c:v>2025-01-03</c:v>
                </c:pt>
                <c:pt idx="382">
                  <c:v>2025-01-02</c:v>
                </c:pt>
                <c:pt idx="383">
                  <c:v>2024-12-31</c:v>
                </c:pt>
                <c:pt idx="384">
                  <c:v>2024-12-30</c:v>
                </c:pt>
                <c:pt idx="385">
                  <c:v>2024-12-27</c:v>
                </c:pt>
                <c:pt idx="386">
                  <c:v>2024-12-26</c:v>
                </c:pt>
                <c:pt idx="387">
                  <c:v>2024-12-24</c:v>
                </c:pt>
                <c:pt idx="388">
                  <c:v>2024-12-23</c:v>
                </c:pt>
                <c:pt idx="389">
                  <c:v>2024-12-20</c:v>
                </c:pt>
                <c:pt idx="390">
                  <c:v>2024-12-19</c:v>
                </c:pt>
                <c:pt idx="391">
                  <c:v>2024-12-18</c:v>
                </c:pt>
                <c:pt idx="392">
                  <c:v>2024-12-17</c:v>
                </c:pt>
                <c:pt idx="393">
                  <c:v>2024-12-16</c:v>
                </c:pt>
                <c:pt idx="394">
                  <c:v>2024-12-13</c:v>
                </c:pt>
                <c:pt idx="395">
                  <c:v>2024-12-12</c:v>
                </c:pt>
                <c:pt idx="396">
                  <c:v>2024-12-11</c:v>
                </c:pt>
                <c:pt idx="397">
                  <c:v>2024-12-10</c:v>
                </c:pt>
                <c:pt idx="398">
                  <c:v>2024-12-09</c:v>
                </c:pt>
                <c:pt idx="399">
                  <c:v>2024-12-06</c:v>
                </c:pt>
                <c:pt idx="400">
                  <c:v>2024-12-05</c:v>
                </c:pt>
                <c:pt idx="401">
                  <c:v>2024-12-04</c:v>
                </c:pt>
                <c:pt idx="402">
                  <c:v>2024-12-03</c:v>
                </c:pt>
                <c:pt idx="403">
                  <c:v>2024-12-02</c:v>
                </c:pt>
                <c:pt idx="404">
                  <c:v>2024-11-29</c:v>
                </c:pt>
                <c:pt idx="405">
                  <c:v>2024-11-27</c:v>
                </c:pt>
                <c:pt idx="406">
                  <c:v>2024-11-26</c:v>
                </c:pt>
                <c:pt idx="407">
                  <c:v>2024-11-25</c:v>
                </c:pt>
                <c:pt idx="408">
                  <c:v>2024-11-22</c:v>
                </c:pt>
                <c:pt idx="409">
                  <c:v>2024-11-21</c:v>
                </c:pt>
                <c:pt idx="410">
                  <c:v>2024-11-20</c:v>
                </c:pt>
                <c:pt idx="411">
                  <c:v>2024-11-19</c:v>
                </c:pt>
                <c:pt idx="412">
                  <c:v>2024-11-18</c:v>
                </c:pt>
                <c:pt idx="413">
                  <c:v>2024-11-15</c:v>
                </c:pt>
                <c:pt idx="414">
                  <c:v>2024-11-14</c:v>
                </c:pt>
                <c:pt idx="415">
                  <c:v>2024-11-13</c:v>
                </c:pt>
                <c:pt idx="416">
                  <c:v>2024-11-12</c:v>
                </c:pt>
                <c:pt idx="417">
                  <c:v>2024-11-11</c:v>
                </c:pt>
                <c:pt idx="418">
                  <c:v>2024-11-08</c:v>
                </c:pt>
                <c:pt idx="419">
                  <c:v>2024-11-07</c:v>
                </c:pt>
                <c:pt idx="420">
                  <c:v>2024-11-06</c:v>
                </c:pt>
                <c:pt idx="421">
                  <c:v>2024-11-05</c:v>
                </c:pt>
                <c:pt idx="422">
                  <c:v>2024-11-04</c:v>
                </c:pt>
                <c:pt idx="423">
                  <c:v>2024-11-01</c:v>
                </c:pt>
                <c:pt idx="424">
                  <c:v>2024-10-31</c:v>
                </c:pt>
                <c:pt idx="425">
                  <c:v>2024-10-30</c:v>
                </c:pt>
                <c:pt idx="426">
                  <c:v>2024-10-29</c:v>
                </c:pt>
                <c:pt idx="427">
                  <c:v>2024-10-28</c:v>
                </c:pt>
                <c:pt idx="428">
                  <c:v>2024-10-25</c:v>
                </c:pt>
                <c:pt idx="429">
                  <c:v>2024-10-24</c:v>
                </c:pt>
                <c:pt idx="430">
                  <c:v>2024-10-23</c:v>
                </c:pt>
                <c:pt idx="431">
                  <c:v>2024-10-22</c:v>
                </c:pt>
                <c:pt idx="432">
                  <c:v>2024-10-21</c:v>
                </c:pt>
                <c:pt idx="433">
                  <c:v>2024-10-18</c:v>
                </c:pt>
                <c:pt idx="434">
                  <c:v>2024-10-17</c:v>
                </c:pt>
                <c:pt idx="435">
                  <c:v>2024-10-16</c:v>
                </c:pt>
                <c:pt idx="436">
                  <c:v>2024-10-15</c:v>
                </c:pt>
                <c:pt idx="437">
                  <c:v>2024-10-14</c:v>
                </c:pt>
                <c:pt idx="438">
                  <c:v>2024-10-11</c:v>
                </c:pt>
                <c:pt idx="439">
                  <c:v>2024-10-10</c:v>
                </c:pt>
                <c:pt idx="440">
                  <c:v>2024-10-09</c:v>
                </c:pt>
                <c:pt idx="441">
                  <c:v>2024-10-08</c:v>
                </c:pt>
                <c:pt idx="442">
                  <c:v>2024-10-07</c:v>
                </c:pt>
                <c:pt idx="443">
                  <c:v>2024-10-04</c:v>
                </c:pt>
                <c:pt idx="444">
                  <c:v>2024-10-03</c:v>
                </c:pt>
                <c:pt idx="445">
                  <c:v>2024-10-02</c:v>
                </c:pt>
                <c:pt idx="446">
                  <c:v>2024-10-01</c:v>
                </c:pt>
                <c:pt idx="447">
                  <c:v>2024-09-30</c:v>
                </c:pt>
                <c:pt idx="448">
                  <c:v>2024-09-27</c:v>
                </c:pt>
                <c:pt idx="449">
                  <c:v>2024-09-26</c:v>
                </c:pt>
                <c:pt idx="450">
                  <c:v>2024-09-25</c:v>
                </c:pt>
                <c:pt idx="451">
                  <c:v>2024-09-24</c:v>
                </c:pt>
                <c:pt idx="452">
                  <c:v>2024-09-23</c:v>
                </c:pt>
                <c:pt idx="453">
                  <c:v>2024-09-20</c:v>
                </c:pt>
                <c:pt idx="454">
                  <c:v>2024-09-19</c:v>
                </c:pt>
                <c:pt idx="455">
                  <c:v>2024-09-18</c:v>
                </c:pt>
                <c:pt idx="456">
                  <c:v>2024-09-17</c:v>
                </c:pt>
                <c:pt idx="457">
                  <c:v>2024-09-16</c:v>
                </c:pt>
                <c:pt idx="458">
                  <c:v>2024-09-13</c:v>
                </c:pt>
                <c:pt idx="459">
                  <c:v>2024-09-12</c:v>
                </c:pt>
                <c:pt idx="460">
                  <c:v>2024-09-11</c:v>
                </c:pt>
                <c:pt idx="461">
                  <c:v>2024-09-10</c:v>
                </c:pt>
                <c:pt idx="462">
                  <c:v>2024-09-09</c:v>
                </c:pt>
                <c:pt idx="463">
                  <c:v>2024-09-06</c:v>
                </c:pt>
                <c:pt idx="464">
                  <c:v>2024-09-05</c:v>
                </c:pt>
                <c:pt idx="465">
                  <c:v>2024-09-04</c:v>
                </c:pt>
                <c:pt idx="466">
                  <c:v>2024-09-03</c:v>
                </c:pt>
                <c:pt idx="467">
                  <c:v>2024-08-30</c:v>
                </c:pt>
                <c:pt idx="468">
                  <c:v>2024-08-29</c:v>
                </c:pt>
                <c:pt idx="469">
                  <c:v>2024-08-28</c:v>
                </c:pt>
                <c:pt idx="470">
                  <c:v>2024-08-27</c:v>
                </c:pt>
                <c:pt idx="471">
                  <c:v>2024-08-26</c:v>
                </c:pt>
                <c:pt idx="472">
                  <c:v>2024-08-23</c:v>
                </c:pt>
                <c:pt idx="473">
                  <c:v>2024-08-22</c:v>
                </c:pt>
                <c:pt idx="474">
                  <c:v>2024-08-21</c:v>
                </c:pt>
                <c:pt idx="475">
                  <c:v>2024-08-20</c:v>
                </c:pt>
                <c:pt idx="476">
                  <c:v>2024-08-19</c:v>
                </c:pt>
                <c:pt idx="477">
                  <c:v>2024-08-16</c:v>
                </c:pt>
                <c:pt idx="478">
                  <c:v>2024-08-15</c:v>
                </c:pt>
                <c:pt idx="479">
                  <c:v>2024-08-14</c:v>
                </c:pt>
                <c:pt idx="480">
                  <c:v>2024-08-13</c:v>
                </c:pt>
                <c:pt idx="481">
                  <c:v>2024-08-12</c:v>
                </c:pt>
                <c:pt idx="482">
                  <c:v>2024-08-09</c:v>
                </c:pt>
                <c:pt idx="483">
                  <c:v>2024-08-08</c:v>
                </c:pt>
                <c:pt idx="484">
                  <c:v>2024-08-07</c:v>
                </c:pt>
                <c:pt idx="485">
                  <c:v>2024-08-06</c:v>
                </c:pt>
                <c:pt idx="486">
                  <c:v>2024-08-05</c:v>
                </c:pt>
                <c:pt idx="487">
                  <c:v>2024-08-02</c:v>
                </c:pt>
                <c:pt idx="488">
                  <c:v>2024-08-01</c:v>
                </c:pt>
                <c:pt idx="489">
                  <c:v>2024-07-31</c:v>
                </c:pt>
                <c:pt idx="490">
                  <c:v>2024-07-30</c:v>
                </c:pt>
                <c:pt idx="491">
                  <c:v>2024-07-29</c:v>
                </c:pt>
                <c:pt idx="492">
                  <c:v>2024-07-26</c:v>
                </c:pt>
                <c:pt idx="493">
                  <c:v>2024-07-25</c:v>
                </c:pt>
                <c:pt idx="494">
                  <c:v>2024-07-24</c:v>
                </c:pt>
                <c:pt idx="495">
                  <c:v>2024-07-23</c:v>
                </c:pt>
                <c:pt idx="496">
                  <c:v>2024-07-22</c:v>
                </c:pt>
                <c:pt idx="497">
                  <c:v>2024-07-19</c:v>
                </c:pt>
                <c:pt idx="498">
                  <c:v>2024-07-18</c:v>
                </c:pt>
                <c:pt idx="499">
                  <c:v>2024-07-17</c:v>
                </c:pt>
                <c:pt idx="500">
                  <c:v>2024-07-16</c:v>
                </c:pt>
                <c:pt idx="501">
                  <c:v>2024-07-15</c:v>
                </c:pt>
                <c:pt idx="502">
                  <c:v>2024-07-12</c:v>
                </c:pt>
                <c:pt idx="503">
                  <c:v>2024-07-11</c:v>
                </c:pt>
                <c:pt idx="504">
                  <c:v>2024-07-10</c:v>
                </c:pt>
                <c:pt idx="505">
                  <c:v>2024-07-09</c:v>
                </c:pt>
                <c:pt idx="506">
                  <c:v>2024-07-08</c:v>
                </c:pt>
                <c:pt idx="507">
                  <c:v>2024-07-05</c:v>
                </c:pt>
                <c:pt idx="508">
                  <c:v>2024-07-03</c:v>
                </c:pt>
                <c:pt idx="509">
                  <c:v>2024-07-02</c:v>
                </c:pt>
                <c:pt idx="510">
                  <c:v>2024-07-01</c:v>
                </c:pt>
                <c:pt idx="511">
                  <c:v>2024-06-28</c:v>
                </c:pt>
                <c:pt idx="512">
                  <c:v>2024-06-27</c:v>
                </c:pt>
                <c:pt idx="513">
                  <c:v>2024-06-26</c:v>
                </c:pt>
                <c:pt idx="514">
                  <c:v>2024-06-25</c:v>
                </c:pt>
                <c:pt idx="515">
                  <c:v>2024-06-24</c:v>
                </c:pt>
                <c:pt idx="516">
                  <c:v>2024-06-21</c:v>
                </c:pt>
                <c:pt idx="517">
                  <c:v>2024-06-20</c:v>
                </c:pt>
                <c:pt idx="518">
                  <c:v>2024-06-18</c:v>
                </c:pt>
                <c:pt idx="519">
                  <c:v>2024-06-17</c:v>
                </c:pt>
                <c:pt idx="520">
                  <c:v>2024-06-14</c:v>
                </c:pt>
                <c:pt idx="521">
                  <c:v>2024-06-13</c:v>
                </c:pt>
                <c:pt idx="522">
                  <c:v>2024-06-12</c:v>
                </c:pt>
                <c:pt idx="523">
                  <c:v>2024-06-11</c:v>
                </c:pt>
                <c:pt idx="524">
                  <c:v>2024-06-10</c:v>
                </c:pt>
                <c:pt idx="525">
                  <c:v>2024-06-07</c:v>
                </c:pt>
                <c:pt idx="526">
                  <c:v>2024-06-06</c:v>
                </c:pt>
                <c:pt idx="527">
                  <c:v>2024-06-05</c:v>
                </c:pt>
                <c:pt idx="528">
                  <c:v>2024-06-04</c:v>
                </c:pt>
                <c:pt idx="529">
                  <c:v>2024-06-03</c:v>
                </c:pt>
                <c:pt idx="530">
                  <c:v>2024-05-31</c:v>
                </c:pt>
                <c:pt idx="531">
                  <c:v>2024-05-30</c:v>
                </c:pt>
                <c:pt idx="532">
                  <c:v>2024-05-29</c:v>
                </c:pt>
                <c:pt idx="533">
                  <c:v>2024-05-28</c:v>
                </c:pt>
                <c:pt idx="534">
                  <c:v>2024-05-24</c:v>
                </c:pt>
                <c:pt idx="535">
                  <c:v>2024-05-23</c:v>
                </c:pt>
                <c:pt idx="536">
                  <c:v>2024-05-22</c:v>
                </c:pt>
                <c:pt idx="537">
                  <c:v>2024-05-21</c:v>
                </c:pt>
                <c:pt idx="538">
                  <c:v>2024-05-20</c:v>
                </c:pt>
                <c:pt idx="539">
                  <c:v>2024-05-17</c:v>
                </c:pt>
                <c:pt idx="540">
                  <c:v>2024-05-16</c:v>
                </c:pt>
                <c:pt idx="541">
                  <c:v>2024-05-15</c:v>
                </c:pt>
                <c:pt idx="542">
                  <c:v>2024-05-14</c:v>
                </c:pt>
                <c:pt idx="543">
                  <c:v>2024-05-13</c:v>
                </c:pt>
                <c:pt idx="544">
                  <c:v>2024-05-10</c:v>
                </c:pt>
                <c:pt idx="545">
                  <c:v>2024-05-09</c:v>
                </c:pt>
                <c:pt idx="546">
                  <c:v>2024-05-08</c:v>
                </c:pt>
                <c:pt idx="547">
                  <c:v>2024-05-07</c:v>
                </c:pt>
                <c:pt idx="548">
                  <c:v>2024-05-06</c:v>
                </c:pt>
                <c:pt idx="549">
                  <c:v>2024-05-03</c:v>
                </c:pt>
                <c:pt idx="550">
                  <c:v>2024-05-02</c:v>
                </c:pt>
                <c:pt idx="551">
                  <c:v>2024-05-01</c:v>
                </c:pt>
                <c:pt idx="552">
                  <c:v>2024-04-30</c:v>
                </c:pt>
                <c:pt idx="553">
                  <c:v>2024-04-29</c:v>
                </c:pt>
                <c:pt idx="554">
                  <c:v>2024-04-26</c:v>
                </c:pt>
                <c:pt idx="555">
                  <c:v>2024-04-25</c:v>
                </c:pt>
                <c:pt idx="556">
                  <c:v>2024-04-24</c:v>
                </c:pt>
                <c:pt idx="557">
                  <c:v>2024-04-23</c:v>
                </c:pt>
                <c:pt idx="558">
                  <c:v>2024-04-22</c:v>
                </c:pt>
                <c:pt idx="559">
                  <c:v>2024-04-19</c:v>
                </c:pt>
                <c:pt idx="560">
                  <c:v>2024-04-18</c:v>
                </c:pt>
                <c:pt idx="561">
                  <c:v>2024-04-17</c:v>
                </c:pt>
                <c:pt idx="562">
                  <c:v>2024-04-16</c:v>
                </c:pt>
                <c:pt idx="563">
                  <c:v>2024-04-15</c:v>
                </c:pt>
                <c:pt idx="564">
                  <c:v>2024-04-12</c:v>
                </c:pt>
                <c:pt idx="565">
                  <c:v>2024-04-11</c:v>
                </c:pt>
                <c:pt idx="566">
                  <c:v>2024-04-10</c:v>
                </c:pt>
                <c:pt idx="567">
                  <c:v>2024-04-09</c:v>
                </c:pt>
                <c:pt idx="568">
                  <c:v>2024-04-08</c:v>
                </c:pt>
                <c:pt idx="569">
                  <c:v>2024-04-05</c:v>
                </c:pt>
                <c:pt idx="570">
                  <c:v>2024-04-04</c:v>
                </c:pt>
                <c:pt idx="571">
                  <c:v>2024-04-03</c:v>
                </c:pt>
                <c:pt idx="572">
                  <c:v>2024-04-02</c:v>
                </c:pt>
                <c:pt idx="573">
                  <c:v>2024-04-01</c:v>
                </c:pt>
                <c:pt idx="574">
                  <c:v>2024-03-28</c:v>
                </c:pt>
                <c:pt idx="575">
                  <c:v>2024-03-27</c:v>
                </c:pt>
                <c:pt idx="576">
                  <c:v>2024-03-26</c:v>
                </c:pt>
                <c:pt idx="577">
                  <c:v>2024-03-25</c:v>
                </c:pt>
                <c:pt idx="578">
                  <c:v>2024-03-22</c:v>
                </c:pt>
                <c:pt idx="579">
                  <c:v>2024-03-21</c:v>
                </c:pt>
                <c:pt idx="580">
                  <c:v>2024-03-20</c:v>
                </c:pt>
                <c:pt idx="581">
                  <c:v>2024-03-19</c:v>
                </c:pt>
                <c:pt idx="582">
                  <c:v>2024-03-18</c:v>
                </c:pt>
                <c:pt idx="583">
                  <c:v>2024-03-15</c:v>
                </c:pt>
                <c:pt idx="584">
                  <c:v>2024-03-14</c:v>
                </c:pt>
                <c:pt idx="585">
                  <c:v>2024-03-13</c:v>
                </c:pt>
                <c:pt idx="586">
                  <c:v>2024-03-12</c:v>
                </c:pt>
                <c:pt idx="587">
                  <c:v>2024-03-11</c:v>
                </c:pt>
                <c:pt idx="588">
                  <c:v>2024-03-08</c:v>
                </c:pt>
                <c:pt idx="589">
                  <c:v>2024-03-07</c:v>
                </c:pt>
                <c:pt idx="590">
                  <c:v>2024-03-06</c:v>
                </c:pt>
                <c:pt idx="591">
                  <c:v>2024-03-05</c:v>
                </c:pt>
                <c:pt idx="592">
                  <c:v>2024-03-04</c:v>
                </c:pt>
                <c:pt idx="593">
                  <c:v>2024-03-01</c:v>
                </c:pt>
                <c:pt idx="594">
                  <c:v>2024-02-29</c:v>
                </c:pt>
                <c:pt idx="595">
                  <c:v>2024-02-28</c:v>
                </c:pt>
                <c:pt idx="596">
                  <c:v>2024-02-27</c:v>
                </c:pt>
                <c:pt idx="597">
                  <c:v>2024-02-26</c:v>
                </c:pt>
                <c:pt idx="598">
                  <c:v>2024-02-23</c:v>
                </c:pt>
                <c:pt idx="599">
                  <c:v>2024-02-22</c:v>
                </c:pt>
                <c:pt idx="600">
                  <c:v>2024-02-21</c:v>
                </c:pt>
                <c:pt idx="601">
                  <c:v>2024-02-20</c:v>
                </c:pt>
                <c:pt idx="602">
                  <c:v>2024-02-16</c:v>
                </c:pt>
                <c:pt idx="603">
                  <c:v>2024-02-15</c:v>
                </c:pt>
                <c:pt idx="604">
                  <c:v>2024-02-14</c:v>
                </c:pt>
                <c:pt idx="605">
                  <c:v>2024-02-13</c:v>
                </c:pt>
                <c:pt idx="606">
                  <c:v>2024-02-12</c:v>
                </c:pt>
                <c:pt idx="607">
                  <c:v>2024-02-09</c:v>
                </c:pt>
                <c:pt idx="608">
                  <c:v>2024-02-08</c:v>
                </c:pt>
                <c:pt idx="609">
                  <c:v>2024-02-07</c:v>
                </c:pt>
                <c:pt idx="610">
                  <c:v>2024-02-06</c:v>
                </c:pt>
                <c:pt idx="611">
                  <c:v>2024-02-05</c:v>
                </c:pt>
                <c:pt idx="612">
                  <c:v>2024-02-02</c:v>
                </c:pt>
                <c:pt idx="613">
                  <c:v>2024-02-01</c:v>
                </c:pt>
                <c:pt idx="614">
                  <c:v>2024-01-31</c:v>
                </c:pt>
                <c:pt idx="615">
                  <c:v>2024-01-30</c:v>
                </c:pt>
                <c:pt idx="616">
                  <c:v>2024-01-29</c:v>
                </c:pt>
                <c:pt idx="617">
                  <c:v>2024-01-26</c:v>
                </c:pt>
                <c:pt idx="618">
                  <c:v>2024-01-25</c:v>
                </c:pt>
                <c:pt idx="619">
                  <c:v>2024-01-24</c:v>
                </c:pt>
                <c:pt idx="620">
                  <c:v>2024-01-23</c:v>
                </c:pt>
                <c:pt idx="621">
                  <c:v>2024-01-22</c:v>
                </c:pt>
                <c:pt idx="622">
                  <c:v>2024-01-19</c:v>
                </c:pt>
                <c:pt idx="623">
                  <c:v>2024-01-18</c:v>
                </c:pt>
                <c:pt idx="624">
                  <c:v>2024-01-17</c:v>
                </c:pt>
                <c:pt idx="625">
                  <c:v>2024-01-16</c:v>
                </c:pt>
                <c:pt idx="626">
                  <c:v>2024-01-12</c:v>
                </c:pt>
                <c:pt idx="627">
                  <c:v>2024-01-11</c:v>
                </c:pt>
                <c:pt idx="628">
                  <c:v>2024-01-10</c:v>
                </c:pt>
                <c:pt idx="629">
                  <c:v>2024-01-09</c:v>
                </c:pt>
                <c:pt idx="630">
                  <c:v>2024-01-08</c:v>
                </c:pt>
                <c:pt idx="631">
                  <c:v>2024-01-05</c:v>
                </c:pt>
                <c:pt idx="632">
                  <c:v>2024-01-04</c:v>
                </c:pt>
                <c:pt idx="633">
                  <c:v>2024-01-03</c:v>
                </c:pt>
                <c:pt idx="634">
                  <c:v>2024-01-02</c:v>
                </c:pt>
                <c:pt idx="635">
                  <c:v>2023-12-29</c:v>
                </c:pt>
                <c:pt idx="636">
                  <c:v>2023-12-28</c:v>
                </c:pt>
                <c:pt idx="637">
                  <c:v>2023-12-27</c:v>
                </c:pt>
                <c:pt idx="638">
                  <c:v>2023-12-26</c:v>
                </c:pt>
                <c:pt idx="639">
                  <c:v>2023-12-22</c:v>
                </c:pt>
                <c:pt idx="640">
                  <c:v>2023-12-21</c:v>
                </c:pt>
                <c:pt idx="641">
                  <c:v>2023-12-20</c:v>
                </c:pt>
                <c:pt idx="642">
                  <c:v>2023-12-19</c:v>
                </c:pt>
                <c:pt idx="643">
                  <c:v>2023-12-18</c:v>
                </c:pt>
                <c:pt idx="644">
                  <c:v>2023-12-15</c:v>
                </c:pt>
                <c:pt idx="645">
                  <c:v>2023-12-14</c:v>
                </c:pt>
                <c:pt idx="646">
                  <c:v>2023-12-13</c:v>
                </c:pt>
                <c:pt idx="647">
                  <c:v>2023-12-12</c:v>
                </c:pt>
                <c:pt idx="648">
                  <c:v>2023-12-11</c:v>
                </c:pt>
                <c:pt idx="649">
                  <c:v>2023-12-08</c:v>
                </c:pt>
                <c:pt idx="650">
                  <c:v>2023-12-07</c:v>
                </c:pt>
                <c:pt idx="651">
                  <c:v>2023-12-06</c:v>
                </c:pt>
                <c:pt idx="652">
                  <c:v>2023-12-05</c:v>
                </c:pt>
                <c:pt idx="653">
                  <c:v>2023-12-04</c:v>
                </c:pt>
                <c:pt idx="654">
                  <c:v>2023-12-01</c:v>
                </c:pt>
                <c:pt idx="655">
                  <c:v>2023-11-30</c:v>
                </c:pt>
                <c:pt idx="656">
                  <c:v>2023-11-29</c:v>
                </c:pt>
                <c:pt idx="657">
                  <c:v>2023-11-28</c:v>
                </c:pt>
                <c:pt idx="658">
                  <c:v>2023-11-27</c:v>
                </c:pt>
                <c:pt idx="659">
                  <c:v>2023-11-24</c:v>
                </c:pt>
                <c:pt idx="660">
                  <c:v>2023-11-22</c:v>
                </c:pt>
                <c:pt idx="661">
                  <c:v>2023-11-21</c:v>
                </c:pt>
                <c:pt idx="662">
                  <c:v>2023-11-20</c:v>
                </c:pt>
                <c:pt idx="663">
                  <c:v>2023-11-17</c:v>
                </c:pt>
                <c:pt idx="664">
                  <c:v>2023-11-16</c:v>
                </c:pt>
                <c:pt idx="665">
                  <c:v>2023-11-15</c:v>
                </c:pt>
                <c:pt idx="666">
                  <c:v>2023-11-14</c:v>
                </c:pt>
                <c:pt idx="667">
                  <c:v>2023-11-13</c:v>
                </c:pt>
                <c:pt idx="668">
                  <c:v>2023-11-10</c:v>
                </c:pt>
                <c:pt idx="669">
                  <c:v>2023-11-09</c:v>
                </c:pt>
                <c:pt idx="670">
                  <c:v>2023-11-08</c:v>
                </c:pt>
                <c:pt idx="671">
                  <c:v>2023-11-07</c:v>
                </c:pt>
                <c:pt idx="672">
                  <c:v>2023-11-06</c:v>
                </c:pt>
                <c:pt idx="673">
                  <c:v>2023-11-03</c:v>
                </c:pt>
                <c:pt idx="674">
                  <c:v>2023-11-02</c:v>
                </c:pt>
                <c:pt idx="675">
                  <c:v>2023-11-01</c:v>
                </c:pt>
                <c:pt idx="676">
                  <c:v>2023-10-31</c:v>
                </c:pt>
                <c:pt idx="677">
                  <c:v>2023-10-30</c:v>
                </c:pt>
                <c:pt idx="678">
                  <c:v>2023-10-27</c:v>
                </c:pt>
                <c:pt idx="679">
                  <c:v>2023-10-26</c:v>
                </c:pt>
                <c:pt idx="680">
                  <c:v>2023-10-25</c:v>
                </c:pt>
                <c:pt idx="681">
                  <c:v>2023-10-24</c:v>
                </c:pt>
                <c:pt idx="682">
                  <c:v>2023-10-23</c:v>
                </c:pt>
                <c:pt idx="683">
                  <c:v>2023-10-20</c:v>
                </c:pt>
                <c:pt idx="684">
                  <c:v>2023-10-19</c:v>
                </c:pt>
                <c:pt idx="685">
                  <c:v>2023-10-18</c:v>
                </c:pt>
                <c:pt idx="686">
                  <c:v>2023-10-17</c:v>
                </c:pt>
                <c:pt idx="687">
                  <c:v>2023-10-16</c:v>
                </c:pt>
                <c:pt idx="688">
                  <c:v>2023-10-13</c:v>
                </c:pt>
                <c:pt idx="689">
                  <c:v>2023-10-12</c:v>
                </c:pt>
                <c:pt idx="690">
                  <c:v>2023-10-11</c:v>
                </c:pt>
                <c:pt idx="691">
                  <c:v>2023-10-10</c:v>
                </c:pt>
                <c:pt idx="692">
                  <c:v>2023-10-09</c:v>
                </c:pt>
                <c:pt idx="693">
                  <c:v>2023-10-06</c:v>
                </c:pt>
                <c:pt idx="694">
                  <c:v>2023-10-05</c:v>
                </c:pt>
                <c:pt idx="695">
                  <c:v>2023-10-04</c:v>
                </c:pt>
                <c:pt idx="696">
                  <c:v>2023-10-03</c:v>
                </c:pt>
                <c:pt idx="697">
                  <c:v>2023-10-02</c:v>
                </c:pt>
                <c:pt idx="698">
                  <c:v>2023-09-29</c:v>
                </c:pt>
                <c:pt idx="699">
                  <c:v>2023-09-28</c:v>
                </c:pt>
                <c:pt idx="700">
                  <c:v>2023-09-27</c:v>
                </c:pt>
                <c:pt idx="701">
                  <c:v>2023-09-26</c:v>
                </c:pt>
                <c:pt idx="702">
                  <c:v>2023-09-25</c:v>
                </c:pt>
                <c:pt idx="703">
                  <c:v>2023-09-22</c:v>
                </c:pt>
                <c:pt idx="704">
                  <c:v>2023-09-21</c:v>
                </c:pt>
                <c:pt idx="705">
                  <c:v>2023-09-20</c:v>
                </c:pt>
                <c:pt idx="706">
                  <c:v>2023-09-19</c:v>
                </c:pt>
                <c:pt idx="707">
                  <c:v>2023-09-18</c:v>
                </c:pt>
                <c:pt idx="708">
                  <c:v>2023-09-15</c:v>
                </c:pt>
                <c:pt idx="709">
                  <c:v>2023-09-14</c:v>
                </c:pt>
                <c:pt idx="710">
                  <c:v>2023-09-13</c:v>
                </c:pt>
                <c:pt idx="711">
                  <c:v>2023-09-12</c:v>
                </c:pt>
                <c:pt idx="712">
                  <c:v>2023-09-11</c:v>
                </c:pt>
                <c:pt idx="713">
                  <c:v>2023-09-08</c:v>
                </c:pt>
                <c:pt idx="714">
                  <c:v>2023-09-07</c:v>
                </c:pt>
                <c:pt idx="715">
                  <c:v>2023-09-06</c:v>
                </c:pt>
                <c:pt idx="716">
                  <c:v>2023-09-05</c:v>
                </c:pt>
                <c:pt idx="717">
                  <c:v>2023-09-01</c:v>
                </c:pt>
                <c:pt idx="718">
                  <c:v>2023-08-31</c:v>
                </c:pt>
                <c:pt idx="719">
                  <c:v>2023-08-30</c:v>
                </c:pt>
                <c:pt idx="720">
                  <c:v>2023-08-29</c:v>
                </c:pt>
                <c:pt idx="721">
                  <c:v>2023-08-28</c:v>
                </c:pt>
                <c:pt idx="722">
                  <c:v>2023-08-25</c:v>
                </c:pt>
                <c:pt idx="723">
                  <c:v>2023-08-24</c:v>
                </c:pt>
                <c:pt idx="724">
                  <c:v>2023-08-23</c:v>
                </c:pt>
                <c:pt idx="725">
                  <c:v>2023-08-22</c:v>
                </c:pt>
                <c:pt idx="726">
                  <c:v>2023-08-21</c:v>
                </c:pt>
                <c:pt idx="727">
                  <c:v>2023-08-18</c:v>
                </c:pt>
                <c:pt idx="728">
                  <c:v>2023-08-17</c:v>
                </c:pt>
                <c:pt idx="729">
                  <c:v>2023-08-16</c:v>
                </c:pt>
                <c:pt idx="730">
                  <c:v>2023-08-15</c:v>
                </c:pt>
                <c:pt idx="731">
                  <c:v>2023-08-14</c:v>
                </c:pt>
                <c:pt idx="732">
                  <c:v>2023-08-11</c:v>
                </c:pt>
                <c:pt idx="733">
                  <c:v>2023-08-10</c:v>
                </c:pt>
                <c:pt idx="734">
                  <c:v>2023-08-09</c:v>
                </c:pt>
                <c:pt idx="735">
                  <c:v>2023-08-08</c:v>
                </c:pt>
                <c:pt idx="736">
                  <c:v>2023-08-07</c:v>
                </c:pt>
                <c:pt idx="737">
                  <c:v>2023-08-04</c:v>
                </c:pt>
                <c:pt idx="738">
                  <c:v>2023-08-03</c:v>
                </c:pt>
                <c:pt idx="739">
                  <c:v>2023-08-02</c:v>
                </c:pt>
                <c:pt idx="740">
                  <c:v>2023-08-01</c:v>
                </c:pt>
                <c:pt idx="741">
                  <c:v>2023-07-31</c:v>
                </c:pt>
                <c:pt idx="742">
                  <c:v>2023-07-28</c:v>
                </c:pt>
                <c:pt idx="743">
                  <c:v>2023-07-27</c:v>
                </c:pt>
                <c:pt idx="744">
                  <c:v>2023-07-26</c:v>
                </c:pt>
                <c:pt idx="745">
                  <c:v>2023-07-25</c:v>
                </c:pt>
                <c:pt idx="746">
                  <c:v>2023-07-24</c:v>
                </c:pt>
                <c:pt idx="747">
                  <c:v>2023-07-21</c:v>
                </c:pt>
                <c:pt idx="748">
                  <c:v>2023-07-20</c:v>
                </c:pt>
                <c:pt idx="749">
                  <c:v>2023-07-19</c:v>
                </c:pt>
                <c:pt idx="750">
                  <c:v>2023-07-18</c:v>
                </c:pt>
                <c:pt idx="751">
                  <c:v>2023-07-17</c:v>
                </c:pt>
                <c:pt idx="752">
                  <c:v>2023-07-14</c:v>
                </c:pt>
                <c:pt idx="753">
                  <c:v>2023-07-13</c:v>
                </c:pt>
                <c:pt idx="754">
                  <c:v>2023-07-12</c:v>
                </c:pt>
                <c:pt idx="755">
                  <c:v>2023-07-11</c:v>
                </c:pt>
                <c:pt idx="756">
                  <c:v>2023-07-10</c:v>
                </c:pt>
                <c:pt idx="757">
                  <c:v>2023-07-07</c:v>
                </c:pt>
                <c:pt idx="758">
                  <c:v>2023-07-06</c:v>
                </c:pt>
                <c:pt idx="759">
                  <c:v>2023-07-05</c:v>
                </c:pt>
                <c:pt idx="760">
                  <c:v>2023-07-03</c:v>
                </c:pt>
                <c:pt idx="761">
                  <c:v>2023-06-30</c:v>
                </c:pt>
                <c:pt idx="762">
                  <c:v>2023-06-29</c:v>
                </c:pt>
                <c:pt idx="763">
                  <c:v>2023-06-28</c:v>
                </c:pt>
                <c:pt idx="764">
                  <c:v>2023-06-27</c:v>
                </c:pt>
                <c:pt idx="765">
                  <c:v>2023-06-26</c:v>
                </c:pt>
                <c:pt idx="766">
                  <c:v>2023-06-23</c:v>
                </c:pt>
                <c:pt idx="767">
                  <c:v>2023-06-22</c:v>
                </c:pt>
                <c:pt idx="768">
                  <c:v>2023-06-21</c:v>
                </c:pt>
                <c:pt idx="769">
                  <c:v>2023-06-20</c:v>
                </c:pt>
                <c:pt idx="770">
                  <c:v>2023-06-16</c:v>
                </c:pt>
                <c:pt idx="771">
                  <c:v>2023-06-15</c:v>
                </c:pt>
                <c:pt idx="772">
                  <c:v>2023-06-14</c:v>
                </c:pt>
                <c:pt idx="773">
                  <c:v>2023-06-13</c:v>
                </c:pt>
                <c:pt idx="774">
                  <c:v>2023-06-12</c:v>
                </c:pt>
                <c:pt idx="775">
                  <c:v>2023-06-09</c:v>
                </c:pt>
                <c:pt idx="776">
                  <c:v>2023-06-08</c:v>
                </c:pt>
                <c:pt idx="777">
                  <c:v>2023-06-07</c:v>
                </c:pt>
                <c:pt idx="778">
                  <c:v>2023-06-06</c:v>
                </c:pt>
                <c:pt idx="779">
                  <c:v>2023-06-05</c:v>
                </c:pt>
                <c:pt idx="780">
                  <c:v>2023-06-02</c:v>
                </c:pt>
                <c:pt idx="781">
                  <c:v>2023-06-01</c:v>
                </c:pt>
                <c:pt idx="782">
                  <c:v>2023-05-31</c:v>
                </c:pt>
                <c:pt idx="783">
                  <c:v>2023-05-30</c:v>
                </c:pt>
                <c:pt idx="784">
                  <c:v>2023-05-26</c:v>
                </c:pt>
                <c:pt idx="785">
                  <c:v>2023-05-25</c:v>
                </c:pt>
                <c:pt idx="786">
                  <c:v>2023-05-24</c:v>
                </c:pt>
                <c:pt idx="787">
                  <c:v>2023-05-23</c:v>
                </c:pt>
                <c:pt idx="788">
                  <c:v>2023-05-22</c:v>
                </c:pt>
                <c:pt idx="789">
                  <c:v>2023-05-19</c:v>
                </c:pt>
                <c:pt idx="790">
                  <c:v>2023-05-18</c:v>
                </c:pt>
                <c:pt idx="791">
                  <c:v>2023-05-17</c:v>
                </c:pt>
                <c:pt idx="792">
                  <c:v>2023-05-16</c:v>
                </c:pt>
                <c:pt idx="793">
                  <c:v>2023-05-15</c:v>
                </c:pt>
                <c:pt idx="794">
                  <c:v>2023-05-12</c:v>
                </c:pt>
                <c:pt idx="795">
                  <c:v>2023-05-11</c:v>
                </c:pt>
                <c:pt idx="796">
                  <c:v>2023-05-10</c:v>
                </c:pt>
                <c:pt idx="797">
                  <c:v>2023-05-09</c:v>
                </c:pt>
                <c:pt idx="798">
                  <c:v>2023-05-08</c:v>
                </c:pt>
                <c:pt idx="799">
                  <c:v>2023-05-05</c:v>
                </c:pt>
                <c:pt idx="800">
                  <c:v>2023-05-04</c:v>
                </c:pt>
                <c:pt idx="801">
                  <c:v>2023-05-03</c:v>
                </c:pt>
                <c:pt idx="802">
                  <c:v>2023-05-02</c:v>
                </c:pt>
                <c:pt idx="803">
                  <c:v>2023-05-01</c:v>
                </c:pt>
                <c:pt idx="804">
                  <c:v>2023-04-28</c:v>
                </c:pt>
                <c:pt idx="805">
                  <c:v>2023-04-27</c:v>
                </c:pt>
                <c:pt idx="806">
                  <c:v>2023-04-26</c:v>
                </c:pt>
                <c:pt idx="807">
                  <c:v>2023-04-25</c:v>
                </c:pt>
                <c:pt idx="808">
                  <c:v>2023-04-24</c:v>
                </c:pt>
                <c:pt idx="809">
                  <c:v>2023-04-21</c:v>
                </c:pt>
                <c:pt idx="810">
                  <c:v>2023-04-20</c:v>
                </c:pt>
                <c:pt idx="811">
                  <c:v>2023-04-19</c:v>
                </c:pt>
                <c:pt idx="812">
                  <c:v>2023-04-18</c:v>
                </c:pt>
                <c:pt idx="813">
                  <c:v>2023-04-17</c:v>
                </c:pt>
                <c:pt idx="814">
                  <c:v>2023-04-14</c:v>
                </c:pt>
                <c:pt idx="815">
                  <c:v>2023-04-13</c:v>
                </c:pt>
                <c:pt idx="816">
                  <c:v>2023-04-12</c:v>
                </c:pt>
                <c:pt idx="817">
                  <c:v>2023-04-11</c:v>
                </c:pt>
                <c:pt idx="818">
                  <c:v>2023-04-10</c:v>
                </c:pt>
                <c:pt idx="819">
                  <c:v>2023-04-06</c:v>
                </c:pt>
                <c:pt idx="820">
                  <c:v>2023-04-05</c:v>
                </c:pt>
                <c:pt idx="821">
                  <c:v>2023-04-04</c:v>
                </c:pt>
                <c:pt idx="822">
                  <c:v>2023-04-03</c:v>
                </c:pt>
                <c:pt idx="823">
                  <c:v>2023-03-31</c:v>
                </c:pt>
                <c:pt idx="824">
                  <c:v>2023-03-30</c:v>
                </c:pt>
                <c:pt idx="825">
                  <c:v>2023-03-29</c:v>
                </c:pt>
                <c:pt idx="826">
                  <c:v>2023-03-28</c:v>
                </c:pt>
                <c:pt idx="827">
                  <c:v>2023-03-27</c:v>
                </c:pt>
                <c:pt idx="828">
                  <c:v>2023-03-24</c:v>
                </c:pt>
                <c:pt idx="829">
                  <c:v>2023-03-23</c:v>
                </c:pt>
                <c:pt idx="830">
                  <c:v>2023-03-22</c:v>
                </c:pt>
                <c:pt idx="831">
                  <c:v>2023-03-21</c:v>
                </c:pt>
                <c:pt idx="832">
                  <c:v>2023-03-20</c:v>
                </c:pt>
                <c:pt idx="833">
                  <c:v>2023-03-17</c:v>
                </c:pt>
                <c:pt idx="834">
                  <c:v>2023-03-16</c:v>
                </c:pt>
                <c:pt idx="835">
                  <c:v>2023-03-15</c:v>
                </c:pt>
                <c:pt idx="836">
                  <c:v>2023-03-14</c:v>
                </c:pt>
                <c:pt idx="837">
                  <c:v>2023-03-13</c:v>
                </c:pt>
                <c:pt idx="838">
                  <c:v>2023-03-10</c:v>
                </c:pt>
                <c:pt idx="839">
                  <c:v>2023-03-09</c:v>
                </c:pt>
                <c:pt idx="840">
                  <c:v>2023-03-08</c:v>
                </c:pt>
                <c:pt idx="841">
                  <c:v>2023-03-07</c:v>
                </c:pt>
                <c:pt idx="842">
                  <c:v>2023-03-06</c:v>
                </c:pt>
                <c:pt idx="843">
                  <c:v>2023-03-03</c:v>
                </c:pt>
                <c:pt idx="844">
                  <c:v>2023-03-02</c:v>
                </c:pt>
                <c:pt idx="845">
                  <c:v>2023-03-01</c:v>
                </c:pt>
                <c:pt idx="846">
                  <c:v>2023-02-28</c:v>
                </c:pt>
                <c:pt idx="847">
                  <c:v>2023-02-27</c:v>
                </c:pt>
                <c:pt idx="848">
                  <c:v>2023-02-24</c:v>
                </c:pt>
                <c:pt idx="849">
                  <c:v>2023-02-23</c:v>
                </c:pt>
                <c:pt idx="850">
                  <c:v>2023-02-22</c:v>
                </c:pt>
                <c:pt idx="851">
                  <c:v>2023-02-21</c:v>
                </c:pt>
                <c:pt idx="852">
                  <c:v>2023-02-17</c:v>
                </c:pt>
                <c:pt idx="853">
                  <c:v>2023-02-16</c:v>
                </c:pt>
                <c:pt idx="854">
                  <c:v>2023-02-15</c:v>
                </c:pt>
                <c:pt idx="855">
                  <c:v>2023-02-14</c:v>
                </c:pt>
                <c:pt idx="856">
                  <c:v>2023-02-13</c:v>
                </c:pt>
                <c:pt idx="857">
                  <c:v>2023-02-10</c:v>
                </c:pt>
                <c:pt idx="858">
                  <c:v>2023-02-09</c:v>
                </c:pt>
                <c:pt idx="859">
                  <c:v>2023-02-08</c:v>
                </c:pt>
                <c:pt idx="860">
                  <c:v>2023-02-07</c:v>
                </c:pt>
                <c:pt idx="861">
                  <c:v>2023-02-06</c:v>
                </c:pt>
                <c:pt idx="862">
                  <c:v>2023-02-03</c:v>
                </c:pt>
                <c:pt idx="863">
                  <c:v>2023-02-02</c:v>
                </c:pt>
                <c:pt idx="864">
                  <c:v>2023-02-01</c:v>
                </c:pt>
                <c:pt idx="865">
                  <c:v>2023-01-31</c:v>
                </c:pt>
                <c:pt idx="866">
                  <c:v>2023-01-30</c:v>
                </c:pt>
                <c:pt idx="867">
                  <c:v>2023-01-27</c:v>
                </c:pt>
                <c:pt idx="868">
                  <c:v>2023-01-26</c:v>
                </c:pt>
                <c:pt idx="869">
                  <c:v>2023-01-25</c:v>
                </c:pt>
                <c:pt idx="870">
                  <c:v>2023-01-24</c:v>
                </c:pt>
                <c:pt idx="871">
                  <c:v>2023-01-23</c:v>
                </c:pt>
                <c:pt idx="872">
                  <c:v>2023-01-20</c:v>
                </c:pt>
                <c:pt idx="873">
                  <c:v>2023-01-19</c:v>
                </c:pt>
                <c:pt idx="874">
                  <c:v>2023-01-18</c:v>
                </c:pt>
                <c:pt idx="875">
                  <c:v>2023-01-17</c:v>
                </c:pt>
                <c:pt idx="876">
                  <c:v>2023-01-13</c:v>
                </c:pt>
                <c:pt idx="877">
                  <c:v>2023-01-12</c:v>
                </c:pt>
                <c:pt idx="878">
                  <c:v>2023-01-11</c:v>
                </c:pt>
                <c:pt idx="879">
                  <c:v>2023-01-10</c:v>
                </c:pt>
                <c:pt idx="880">
                  <c:v>2023-01-09</c:v>
                </c:pt>
                <c:pt idx="881">
                  <c:v>2023-01-06</c:v>
                </c:pt>
                <c:pt idx="882">
                  <c:v>2023-01-05</c:v>
                </c:pt>
                <c:pt idx="883">
                  <c:v>2023-01-04</c:v>
                </c:pt>
                <c:pt idx="884">
                  <c:v>2023-01-03</c:v>
                </c:pt>
                <c:pt idx="885">
                  <c:v>2022-12-30</c:v>
                </c:pt>
                <c:pt idx="886">
                  <c:v>2022-12-29</c:v>
                </c:pt>
                <c:pt idx="887">
                  <c:v>2022-12-28</c:v>
                </c:pt>
                <c:pt idx="888">
                  <c:v>2022-12-27</c:v>
                </c:pt>
                <c:pt idx="889">
                  <c:v>2022-12-23</c:v>
                </c:pt>
                <c:pt idx="890">
                  <c:v>2022-12-22</c:v>
                </c:pt>
                <c:pt idx="891">
                  <c:v>2022-12-21</c:v>
                </c:pt>
                <c:pt idx="892">
                  <c:v>2022-12-20</c:v>
                </c:pt>
                <c:pt idx="893">
                  <c:v>2022-12-19</c:v>
                </c:pt>
                <c:pt idx="894">
                  <c:v>2022-12-16</c:v>
                </c:pt>
                <c:pt idx="895">
                  <c:v>2022-12-15</c:v>
                </c:pt>
                <c:pt idx="896">
                  <c:v>2022-12-14</c:v>
                </c:pt>
                <c:pt idx="897">
                  <c:v>2022-12-13</c:v>
                </c:pt>
                <c:pt idx="898">
                  <c:v>2022-12-12</c:v>
                </c:pt>
                <c:pt idx="899">
                  <c:v>2022-12-09</c:v>
                </c:pt>
                <c:pt idx="900">
                  <c:v>2022-12-08</c:v>
                </c:pt>
                <c:pt idx="901">
                  <c:v>2022-12-07</c:v>
                </c:pt>
                <c:pt idx="902">
                  <c:v>2022-12-06</c:v>
                </c:pt>
                <c:pt idx="903">
                  <c:v>2022-12-05</c:v>
                </c:pt>
                <c:pt idx="904">
                  <c:v>2022-12-02</c:v>
                </c:pt>
                <c:pt idx="905">
                  <c:v>2022-12-01</c:v>
                </c:pt>
                <c:pt idx="906">
                  <c:v>2022-11-30</c:v>
                </c:pt>
                <c:pt idx="907">
                  <c:v>2022-11-29</c:v>
                </c:pt>
                <c:pt idx="908">
                  <c:v>2022-11-28</c:v>
                </c:pt>
                <c:pt idx="909">
                  <c:v>2022-11-25</c:v>
                </c:pt>
                <c:pt idx="910">
                  <c:v>2022-11-23</c:v>
                </c:pt>
                <c:pt idx="911">
                  <c:v>2022-11-22</c:v>
                </c:pt>
                <c:pt idx="912">
                  <c:v>2022-11-21</c:v>
                </c:pt>
                <c:pt idx="913">
                  <c:v>2022-11-18</c:v>
                </c:pt>
                <c:pt idx="914">
                  <c:v>2022-11-17</c:v>
                </c:pt>
                <c:pt idx="915">
                  <c:v>2022-11-16</c:v>
                </c:pt>
                <c:pt idx="916">
                  <c:v>2022-11-15</c:v>
                </c:pt>
                <c:pt idx="917">
                  <c:v>2022-11-14</c:v>
                </c:pt>
                <c:pt idx="918">
                  <c:v>2022-11-11</c:v>
                </c:pt>
                <c:pt idx="919">
                  <c:v>2022-11-10</c:v>
                </c:pt>
                <c:pt idx="920">
                  <c:v>2022-11-09</c:v>
                </c:pt>
                <c:pt idx="921">
                  <c:v>2022-11-08</c:v>
                </c:pt>
                <c:pt idx="922">
                  <c:v>2022-11-07</c:v>
                </c:pt>
                <c:pt idx="923">
                  <c:v>2022-11-04</c:v>
                </c:pt>
                <c:pt idx="924">
                  <c:v>2022-11-03</c:v>
                </c:pt>
                <c:pt idx="925">
                  <c:v>2022-11-02</c:v>
                </c:pt>
                <c:pt idx="926">
                  <c:v>2022-11-01</c:v>
                </c:pt>
                <c:pt idx="927">
                  <c:v>2022-10-31</c:v>
                </c:pt>
                <c:pt idx="928">
                  <c:v>2022-10-28</c:v>
                </c:pt>
                <c:pt idx="929">
                  <c:v>2022-10-27</c:v>
                </c:pt>
                <c:pt idx="930">
                  <c:v>2022-10-26</c:v>
                </c:pt>
                <c:pt idx="931">
                  <c:v>2022-10-25</c:v>
                </c:pt>
                <c:pt idx="932">
                  <c:v>2022-10-24</c:v>
                </c:pt>
                <c:pt idx="933">
                  <c:v>2022-10-21</c:v>
                </c:pt>
                <c:pt idx="934">
                  <c:v>2022-10-20</c:v>
                </c:pt>
                <c:pt idx="935">
                  <c:v>2022-10-19</c:v>
                </c:pt>
                <c:pt idx="936">
                  <c:v>2022-10-18</c:v>
                </c:pt>
                <c:pt idx="937">
                  <c:v>2022-10-17</c:v>
                </c:pt>
                <c:pt idx="938">
                  <c:v>2022-10-14</c:v>
                </c:pt>
                <c:pt idx="939">
                  <c:v>2022-10-13</c:v>
                </c:pt>
                <c:pt idx="940">
                  <c:v>2022-10-12</c:v>
                </c:pt>
                <c:pt idx="941">
                  <c:v>2022-10-11</c:v>
                </c:pt>
                <c:pt idx="942">
                  <c:v>2022-10-10</c:v>
                </c:pt>
                <c:pt idx="943">
                  <c:v>2022-10-07</c:v>
                </c:pt>
                <c:pt idx="944">
                  <c:v>2022-10-06</c:v>
                </c:pt>
                <c:pt idx="945">
                  <c:v>2022-10-05</c:v>
                </c:pt>
                <c:pt idx="946">
                  <c:v>2022-10-04</c:v>
                </c:pt>
                <c:pt idx="947">
                  <c:v>2022-10-03</c:v>
                </c:pt>
                <c:pt idx="948">
                  <c:v>2022-09-30</c:v>
                </c:pt>
                <c:pt idx="949">
                  <c:v>2022-09-29</c:v>
                </c:pt>
                <c:pt idx="950">
                  <c:v>2022-09-28</c:v>
                </c:pt>
                <c:pt idx="951">
                  <c:v>2022-09-27</c:v>
                </c:pt>
                <c:pt idx="952">
                  <c:v>2022-09-26</c:v>
                </c:pt>
                <c:pt idx="953">
                  <c:v>2022-09-23</c:v>
                </c:pt>
                <c:pt idx="954">
                  <c:v>2022-09-22</c:v>
                </c:pt>
                <c:pt idx="955">
                  <c:v>2022-09-21</c:v>
                </c:pt>
                <c:pt idx="956">
                  <c:v>2022-09-20</c:v>
                </c:pt>
                <c:pt idx="957">
                  <c:v>2022-09-19</c:v>
                </c:pt>
                <c:pt idx="958">
                  <c:v>2022-09-16</c:v>
                </c:pt>
                <c:pt idx="959">
                  <c:v>2022-09-15</c:v>
                </c:pt>
                <c:pt idx="960">
                  <c:v>2022-09-14</c:v>
                </c:pt>
                <c:pt idx="961">
                  <c:v>2022-09-13</c:v>
                </c:pt>
                <c:pt idx="962">
                  <c:v>2022-09-12</c:v>
                </c:pt>
                <c:pt idx="963">
                  <c:v>2022-09-09</c:v>
                </c:pt>
                <c:pt idx="964">
                  <c:v>2022-09-08</c:v>
                </c:pt>
                <c:pt idx="965">
                  <c:v>2022-09-07</c:v>
                </c:pt>
                <c:pt idx="966">
                  <c:v>2022-09-06</c:v>
                </c:pt>
                <c:pt idx="967">
                  <c:v>2022-09-02</c:v>
                </c:pt>
                <c:pt idx="968">
                  <c:v>2022-09-01</c:v>
                </c:pt>
                <c:pt idx="969">
                  <c:v>2022-08-31</c:v>
                </c:pt>
                <c:pt idx="970">
                  <c:v>2022-08-30</c:v>
                </c:pt>
                <c:pt idx="971">
                  <c:v>2022-08-29</c:v>
                </c:pt>
                <c:pt idx="972">
                  <c:v>2022-08-26</c:v>
                </c:pt>
                <c:pt idx="973">
                  <c:v>2022-08-25</c:v>
                </c:pt>
                <c:pt idx="974">
                  <c:v>2022-08-24</c:v>
                </c:pt>
                <c:pt idx="975">
                  <c:v>2022-08-23</c:v>
                </c:pt>
                <c:pt idx="976">
                  <c:v>2022-08-22</c:v>
                </c:pt>
                <c:pt idx="977">
                  <c:v>2022-08-19</c:v>
                </c:pt>
                <c:pt idx="978">
                  <c:v>2022-08-18</c:v>
                </c:pt>
                <c:pt idx="979">
                  <c:v>2022-08-17</c:v>
                </c:pt>
                <c:pt idx="980">
                  <c:v>2022-08-16</c:v>
                </c:pt>
                <c:pt idx="981">
                  <c:v>2022-08-15</c:v>
                </c:pt>
                <c:pt idx="982">
                  <c:v>2022-08-12</c:v>
                </c:pt>
                <c:pt idx="983">
                  <c:v>2022-08-11</c:v>
                </c:pt>
                <c:pt idx="984">
                  <c:v>2022-08-10</c:v>
                </c:pt>
                <c:pt idx="985">
                  <c:v>2022-08-09</c:v>
                </c:pt>
                <c:pt idx="986">
                  <c:v>2022-08-08</c:v>
                </c:pt>
                <c:pt idx="987">
                  <c:v>2022-08-05</c:v>
                </c:pt>
                <c:pt idx="988">
                  <c:v>2022-08-04</c:v>
                </c:pt>
                <c:pt idx="989">
                  <c:v>2022-08-03</c:v>
                </c:pt>
                <c:pt idx="990">
                  <c:v>2022-08-02</c:v>
                </c:pt>
                <c:pt idx="991">
                  <c:v>2022-08-01</c:v>
                </c:pt>
                <c:pt idx="992">
                  <c:v>2022-07-29</c:v>
                </c:pt>
                <c:pt idx="993">
                  <c:v>2022-07-28</c:v>
                </c:pt>
                <c:pt idx="994">
                  <c:v>2022-07-27</c:v>
                </c:pt>
                <c:pt idx="995">
                  <c:v>2022-07-26</c:v>
                </c:pt>
                <c:pt idx="996">
                  <c:v>2022-07-25</c:v>
                </c:pt>
                <c:pt idx="997">
                  <c:v>2022-07-22</c:v>
                </c:pt>
                <c:pt idx="998">
                  <c:v>2022-07-21</c:v>
                </c:pt>
                <c:pt idx="999">
                  <c:v>2022-07-20</c:v>
                </c:pt>
                <c:pt idx="1000">
                  <c:v>2022-07-19</c:v>
                </c:pt>
                <c:pt idx="1001">
                  <c:v>2022-07-18</c:v>
                </c:pt>
                <c:pt idx="1002">
                  <c:v>2022-07-15</c:v>
                </c:pt>
                <c:pt idx="1003">
                  <c:v>2022-07-14</c:v>
                </c:pt>
                <c:pt idx="1004">
                  <c:v>2022-07-13</c:v>
                </c:pt>
                <c:pt idx="1005">
                  <c:v>2022-07-12</c:v>
                </c:pt>
                <c:pt idx="1006">
                  <c:v>2022-07-11</c:v>
                </c:pt>
                <c:pt idx="1007">
                  <c:v>2022-07-08</c:v>
                </c:pt>
                <c:pt idx="1008">
                  <c:v>2022-07-07</c:v>
                </c:pt>
                <c:pt idx="1009">
                  <c:v>2022-07-06</c:v>
                </c:pt>
                <c:pt idx="1010">
                  <c:v>2022-07-05</c:v>
                </c:pt>
                <c:pt idx="1011">
                  <c:v>2022-07-01</c:v>
                </c:pt>
                <c:pt idx="1012">
                  <c:v>2022-06-30</c:v>
                </c:pt>
                <c:pt idx="1013">
                  <c:v>2022-06-29</c:v>
                </c:pt>
                <c:pt idx="1014">
                  <c:v>2022-06-28</c:v>
                </c:pt>
                <c:pt idx="1015">
                  <c:v>2022-06-27</c:v>
                </c:pt>
                <c:pt idx="1016">
                  <c:v>2022-06-24</c:v>
                </c:pt>
                <c:pt idx="1017">
                  <c:v>2022-06-23</c:v>
                </c:pt>
                <c:pt idx="1018">
                  <c:v>2022-06-22</c:v>
                </c:pt>
                <c:pt idx="1019">
                  <c:v>2022-06-21</c:v>
                </c:pt>
                <c:pt idx="1020">
                  <c:v>2022-06-17</c:v>
                </c:pt>
                <c:pt idx="1021">
                  <c:v>2022-06-16</c:v>
                </c:pt>
                <c:pt idx="1022">
                  <c:v>2022-06-15</c:v>
                </c:pt>
                <c:pt idx="1023">
                  <c:v>2022-06-14</c:v>
                </c:pt>
                <c:pt idx="1024">
                  <c:v>2022-06-13</c:v>
                </c:pt>
                <c:pt idx="1025">
                  <c:v>2022-06-10</c:v>
                </c:pt>
                <c:pt idx="1026">
                  <c:v>2022-06-09</c:v>
                </c:pt>
                <c:pt idx="1027">
                  <c:v>2022-06-08</c:v>
                </c:pt>
                <c:pt idx="1028">
                  <c:v>2022-06-07</c:v>
                </c:pt>
                <c:pt idx="1029">
                  <c:v>2022-06-06</c:v>
                </c:pt>
                <c:pt idx="1030">
                  <c:v>2022-06-03</c:v>
                </c:pt>
                <c:pt idx="1031">
                  <c:v>2022-06-02</c:v>
                </c:pt>
                <c:pt idx="1032">
                  <c:v>2022-06-01</c:v>
                </c:pt>
                <c:pt idx="1033">
                  <c:v>2022-05-31</c:v>
                </c:pt>
                <c:pt idx="1034">
                  <c:v>2022-05-27</c:v>
                </c:pt>
                <c:pt idx="1035">
                  <c:v>2022-05-26</c:v>
                </c:pt>
                <c:pt idx="1036">
                  <c:v>2022-05-25</c:v>
                </c:pt>
                <c:pt idx="1037">
                  <c:v>2022-05-24</c:v>
                </c:pt>
                <c:pt idx="1038">
                  <c:v>2022-05-23</c:v>
                </c:pt>
                <c:pt idx="1039">
                  <c:v>2022-05-20</c:v>
                </c:pt>
                <c:pt idx="1040">
                  <c:v>2022-05-19</c:v>
                </c:pt>
                <c:pt idx="1041">
                  <c:v>2022-05-18</c:v>
                </c:pt>
                <c:pt idx="1042">
                  <c:v>2022-05-17</c:v>
                </c:pt>
                <c:pt idx="1043">
                  <c:v>2022-05-16</c:v>
                </c:pt>
                <c:pt idx="1044">
                  <c:v>2022-05-13</c:v>
                </c:pt>
                <c:pt idx="1045">
                  <c:v>2022-05-12</c:v>
                </c:pt>
                <c:pt idx="1046">
                  <c:v>2022-05-11</c:v>
                </c:pt>
                <c:pt idx="1047">
                  <c:v>2022-05-10</c:v>
                </c:pt>
                <c:pt idx="1048">
                  <c:v>2022-05-09</c:v>
                </c:pt>
                <c:pt idx="1049">
                  <c:v>2022-05-06</c:v>
                </c:pt>
                <c:pt idx="1050">
                  <c:v>2022-05-05</c:v>
                </c:pt>
                <c:pt idx="1051">
                  <c:v>2022-05-04</c:v>
                </c:pt>
                <c:pt idx="1052">
                  <c:v>2022-05-03</c:v>
                </c:pt>
                <c:pt idx="1053">
                  <c:v>2022-05-02</c:v>
                </c:pt>
                <c:pt idx="1054">
                  <c:v>2022-04-29</c:v>
                </c:pt>
                <c:pt idx="1055">
                  <c:v>2022-04-28</c:v>
                </c:pt>
                <c:pt idx="1056">
                  <c:v>2022-04-27</c:v>
                </c:pt>
                <c:pt idx="1057">
                  <c:v>2022-04-26</c:v>
                </c:pt>
                <c:pt idx="1058">
                  <c:v>2022-04-25</c:v>
                </c:pt>
                <c:pt idx="1059">
                  <c:v>2022-04-22</c:v>
                </c:pt>
                <c:pt idx="1060">
                  <c:v>2022-04-21</c:v>
                </c:pt>
                <c:pt idx="1061">
                  <c:v>2022-04-20</c:v>
                </c:pt>
                <c:pt idx="1062">
                  <c:v>2022-04-19</c:v>
                </c:pt>
                <c:pt idx="1063">
                  <c:v>2022-04-18</c:v>
                </c:pt>
                <c:pt idx="1064">
                  <c:v>2022-04-14</c:v>
                </c:pt>
                <c:pt idx="1065">
                  <c:v>2022-04-13</c:v>
                </c:pt>
                <c:pt idx="1066">
                  <c:v>2022-04-12</c:v>
                </c:pt>
                <c:pt idx="1067">
                  <c:v>2022-04-11</c:v>
                </c:pt>
                <c:pt idx="1068">
                  <c:v>2022-04-08</c:v>
                </c:pt>
                <c:pt idx="1069">
                  <c:v>2022-04-07</c:v>
                </c:pt>
                <c:pt idx="1070">
                  <c:v>2022-04-06</c:v>
                </c:pt>
                <c:pt idx="1071">
                  <c:v>2022-04-05</c:v>
                </c:pt>
                <c:pt idx="1072">
                  <c:v>2022-04-04</c:v>
                </c:pt>
                <c:pt idx="1073">
                  <c:v>2022-04-01</c:v>
                </c:pt>
                <c:pt idx="1074">
                  <c:v>2022-03-31</c:v>
                </c:pt>
                <c:pt idx="1075">
                  <c:v>2022-03-30</c:v>
                </c:pt>
                <c:pt idx="1076">
                  <c:v>2022-03-29</c:v>
                </c:pt>
                <c:pt idx="1077">
                  <c:v>2022-03-28</c:v>
                </c:pt>
                <c:pt idx="1078">
                  <c:v>2022-03-25</c:v>
                </c:pt>
                <c:pt idx="1079">
                  <c:v>2022-03-24</c:v>
                </c:pt>
                <c:pt idx="1080">
                  <c:v>2022-03-23</c:v>
                </c:pt>
                <c:pt idx="1081">
                  <c:v>2022-03-22</c:v>
                </c:pt>
                <c:pt idx="1082">
                  <c:v>2022-03-21</c:v>
                </c:pt>
                <c:pt idx="1083">
                  <c:v>2022-03-18</c:v>
                </c:pt>
                <c:pt idx="1084">
                  <c:v>2022-03-17</c:v>
                </c:pt>
                <c:pt idx="1085">
                  <c:v>2022-03-16</c:v>
                </c:pt>
                <c:pt idx="1086">
                  <c:v>2022-03-15</c:v>
                </c:pt>
                <c:pt idx="1087">
                  <c:v>2022-03-14</c:v>
                </c:pt>
                <c:pt idx="1088">
                  <c:v>2022-03-11</c:v>
                </c:pt>
                <c:pt idx="1089">
                  <c:v>2022-03-10</c:v>
                </c:pt>
                <c:pt idx="1090">
                  <c:v>2022-03-09</c:v>
                </c:pt>
                <c:pt idx="1091">
                  <c:v>2022-03-08</c:v>
                </c:pt>
                <c:pt idx="1092">
                  <c:v>2022-03-07</c:v>
                </c:pt>
                <c:pt idx="1093">
                  <c:v>2022-03-04</c:v>
                </c:pt>
                <c:pt idx="1094">
                  <c:v>2022-03-03</c:v>
                </c:pt>
                <c:pt idx="1095">
                  <c:v>2022-03-02</c:v>
                </c:pt>
                <c:pt idx="1096">
                  <c:v>2022-03-01</c:v>
                </c:pt>
                <c:pt idx="1097">
                  <c:v>2022-02-28</c:v>
                </c:pt>
                <c:pt idx="1098">
                  <c:v>2022-02-25</c:v>
                </c:pt>
                <c:pt idx="1099">
                  <c:v>2022-02-24</c:v>
                </c:pt>
                <c:pt idx="1100">
                  <c:v>2022-02-23</c:v>
                </c:pt>
                <c:pt idx="1101">
                  <c:v>2022-02-22</c:v>
                </c:pt>
                <c:pt idx="1102">
                  <c:v>2022-02-18</c:v>
                </c:pt>
                <c:pt idx="1103">
                  <c:v>2022-02-17</c:v>
                </c:pt>
                <c:pt idx="1104">
                  <c:v>2022-02-16</c:v>
                </c:pt>
                <c:pt idx="1105">
                  <c:v>2022-02-15</c:v>
                </c:pt>
                <c:pt idx="1106">
                  <c:v>2022-02-14</c:v>
                </c:pt>
                <c:pt idx="1107">
                  <c:v>2022-02-11</c:v>
                </c:pt>
                <c:pt idx="1108">
                  <c:v>2022-02-10</c:v>
                </c:pt>
                <c:pt idx="1109">
                  <c:v>2022-02-09</c:v>
                </c:pt>
                <c:pt idx="1110">
                  <c:v>2022-02-08</c:v>
                </c:pt>
                <c:pt idx="1111">
                  <c:v>2022-02-07</c:v>
                </c:pt>
                <c:pt idx="1112">
                  <c:v>2022-02-04</c:v>
                </c:pt>
                <c:pt idx="1113">
                  <c:v>2022-02-03</c:v>
                </c:pt>
                <c:pt idx="1114">
                  <c:v>2022-02-02</c:v>
                </c:pt>
                <c:pt idx="1115">
                  <c:v>2022-02-01</c:v>
                </c:pt>
                <c:pt idx="1116">
                  <c:v>2022-01-31</c:v>
                </c:pt>
                <c:pt idx="1117">
                  <c:v>2022-01-28</c:v>
                </c:pt>
                <c:pt idx="1118">
                  <c:v>2022-01-27</c:v>
                </c:pt>
                <c:pt idx="1119">
                  <c:v>2022-01-26</c:v>
                </c:pt>
                <c:pt idx="1120">
                  <c:v>2022-01-25</c:v>
                </c:pt>
                <c:pt idx="1121">
                  <c:v>2022-01-24</c:v>
                </c:pt>
                <c:pt idx="1122">
                  <c:v>2022-01-21</c:v>
                </c:pt>
                <c:pt idx="1123">
                  <c:v>2022-01-20</c:v>
                </c:pt>
                <c:pt idx="1124">
                  <c:v>2022-01-19</c:v>
                </c:pt>
                <c:pt idx="1125">
                  <c:v>2022-01-18</c:v>
                </c:pt>
                <c:pt idx="1126">
                  <c:v>2022-01-14</c:v>
                </c:pt>
                <c:pt idx="1127">
                  <c:v>2022-01-13</c:v>
                </c:pt>
                <c:pt idx="1128">
                  <c:v>2022-01-12</c:v>
                </c:pt>
                <c:pt idx="1129">
                  <c:v>2022-01-11</c:v>
                </c:pt>
                <c:pt idx="1130">
                  <c:v>2022-01-10</c:v>
                </c:pt>
                <c:pt idx="1131">
                  <c:v>2022-01-07</c:v>
                </c:pt>
                <c:pt idx="1132">
                  <c:v>2022-01-06</c:v>
                </c:pt>
                <c:pt idx="1133">
                  <c:v>2022-01-05</c:v>
                </c:pt>
                <c:pt idx="1134">
                  <c:v>2022-01-04</c:v>
                </c:pt>
                <c:pt idx="1135">
                  <c:v>2022-01-03</c:v>
                </c:pt>
                <c:pt idx="1136">
                  <c:v>2021-12-31</c:v>
                </c:pt>
                <c:pt idx="1137">
                  <c:v>2021-12-30</c:v>
                </c:pt>
                <c:pt idx="1138">
                  <c:v>2021-12-29</c:v>
                </c:pt>
                <c:pt idx="1139">
                  <c:v>2021-12-28</c:v>
                </c:pt>
                <c:pt idx="1140">
                  <c:v>2021-12-27</c:v>
                </c:pt>
                <c:pt idx="1141">
                  <c:v>2021-12-23</c:v>
                </c:pt>
                <c:pt idx="1142">
                  <c:v>2021-12-22</c:v>
                </c:pt>
                <c:pt idx="1143">
                  <c:v>2021-12-21</c:v>
                </c:pt>
                <c:pt idx="1144">
                  <c:v>2021-12-20</c:v>
                </c:pt>
                <c:pt idx="1145">
                  <c:v>2021-12-17</c:v>
                </c:pt>
                <c:pt idx="1146">
                  <c:v>2021-12-16</c:v>
                </c:pt>
                <c:pt idx="1147">
                  <c:v>2021-12-15</c:v>
                </c:pt>
                <c:pt idx="1148">
                  <c:v>2021-12-14</c:v>
                </c:pt>
                <c:pt idx="1149">
                  <c:v>2021-12-13</c:v>
                </c:pt>
                <c:pt idx="1150">
                  <c:v>2021-12-10</c:v>
                </c:pt>
                <c:pt idx="1151">
                  <c:v>2021-12-09</c:v>
                </c:pt>
                <c:pt idx="1152">
                  <c:v>2021-12-08</c:v>
                </c:pt>
                <c:pt idx="1153">
                  <c:v>2021-12-07</c:v>
                </c:pt>
                <c:pt idx="1154">
                  <c:v>2021-12-06</c:v>
                </c:pt>
                <c:pt idx="1155">
                  <c:v>2021-12-03</c:v>
                </c:pt>
                <c:pt idx="1156">
                  <c:v>2021-12-02</c:v>
                </c:pt>
                <c:pt idx="1157">
                  <c:v>2021-12-01</c:v>
                </c:pt>
                <c:pt idx="1158">
                  <c:v>2021-11-30</c:v>
                </c:pt>
                <c:pt idx="1159">
                  <c:v>2021-11-29</c:v>
                </c:pt>
                <c:pt idx="1160">
                  <c:v>2021-11-26</c:v>
                </c:pt>
                <c:pt idx="1161">
                  <c:v>2021-11-24</c:v>
                </c:pt>
                <c:pt idx="1162">
                  <c:v>2021-11-23</c:v>
                </c:pt>
                <c:pt idx="1163">
                  <c:v>2021-11-22</c:v>
                </c:pt>
                <c:pt idx="1164">
                  <c:v>2021-11-19</c:v>
                </c:pt>
                <c:pt idx="1165">
                  <c:v>2021-11-18</c:v>
                </c:pt>
                <c:pt idx="1166">
                  <c:v>2021-11-17</c:v>
                </c:pt>
                <c:pt idx="1167">
                  <c:v>2021-11-16</c:v>
                </c:pt>
                <c:pt idx="1168">
                  <c:v>2021-11-15</c:v>
                </c:pt>
                <c:pt idx="1169">
                  <c:v>2021-11-12</c:v>
                </c:pt>
                <c:pt idx="1170">
                  <c:v>2021-11-11</c:v>
                </c:pt>
                <c:pt idx="1171">
                  <c:v>2021-11-10</c:v>
                </c:pt>
                <c:pt idx="1172">
                  <c:v>2021-11-09</c:v>
                </c:pt>
                <c:pt idx="1173">
                  <c:v>2021-11-08</c:v>
                </c:pt>
                <c:pt idx="1174">
                  <c:v>2021-11-05</c:v>
                </c:pt>
                <c:pt idx="1175">
                  <c:v>2021-11-04</c:v>
                </c:pt>
                <c:pt idx="1176">
                  <c:v>2021-11-03</c:v>
                </c:pt>
                <c:pt idx="1177">
                  <c:v>2021-11-02</c:v>
                </c:pt>
                <c:pt idx="1178">
                  <c:v>2021-11-01</c:v>
                </c:pt>
                <c:pt idx="1179">
                  <c:v>2021-10-29</c:v>
                </c:pt>
                <c:pt idx="1180">
                  <c:v>2021-10-28</c:v>
                </c:pt>
                <c:pt idx="1181">
                  <c:v>2021-10-27</c:v>
                </c:pt>
                <c:pt idx="1182">
                  <c:v>2021-10-26</c:v>
                </c:pt>
                <c:pt idx="1183">
                  <c:v>2021-10-25</c:v>
                </c:pt>
                <c:pt idx="1184">
                  <c:v>2021-10-22</c:v>
                </c:pt>
                <c:pt idx="1185">
                  <c:v>2021-10-21</c:v>
                </c:pt>
                <c:pt idx="1186">
                  <c:v>2021-10-20</c:v>
                </c:pt>
                <c:pt idx="1187">
                  <c:v>2021-10-19</c:v>
                </c:pt>
                <c:pt idx="1188">
                  <c:v>2021-10-18</c:v>
                </c:pt>
                <c:pt idx="1189">
                  <c:v>2021-10-15</c:v>
                </c:pt>
                <c:pt idx="1190">
                  <c:v>2021-10-14</c:v>
                </c:pt>
                <c:pt idx="1191">
                  <c:v>2021-10-13</c:v>
                </c:pt>
                <c:pt idx="1192">
                  <c:v>2021-10-12</c:v>
                </c:pt>
                <c:pt idx="1193">
                  <c:v>2021-10-11</c:v>
                </c:pt>
                <c:pt idx="1194">
                  <c:v>2021-10-08</c:v>
                </c:pt>
                <c:pt idx="1195">
                  <c:v>2021-10-07</c:v>
                </c:pt>
                <c:pt idx="1196">
                  <c:v>2021-10-06</c:v>
                </c:pt>
                <c:pt idx="1197">
                  <c:v>2021-10-05</c:v>
                </c:pt>
                <c:pt idx="1198">
                  <c:v>2021-10-04</c:v>
                </c:pt>
                <c:pt idx="1199">
                  <c:v>2021-10-01</c:v>
                </c:pt>
                <c:pt idx="1200">
                  <c:v>2021-09-30</c:v>
                </c:pt>
                <c:pt idx="1201">
                  <c:v>2021-09-29</c:v>
                </c:pt>
                <c:pt idx="1202">
                  <c:v>2021-09-28</c:v>
                </c:pt>
                <c:pt idx="1203">
                  <c:v>2021-09-27</c:v>
                </c:pt>
                <c:pt idx="1204">
                  <c:v>2021-09-24</c:v>
                </c:pt>
                <c:pt idx="1205">
                  <c:v>2021-09-23</c:v>
                </c:pt>
                <c:pt idx="1206">
                  <c:v>2021-09-22</c:v>
                </c:pt>
                <c:pt idx="1207">
                  <c:v>2021-09-21</c:v>
                </c:pt>
                <c:pt idx="1208">
                  <c:v>2021-09-20</c:v>
                </c:pt>
                <c:pt idx="1209">
                  <c:v>2021-09-17</c:v>
                </c:pt>
                <c:pt idx="1210">
                  <c:v>2021-09-16</c:v>
                </c:pt>
                <c:pt idx="1211">
                  <c:v>2021-09-15</c:v>
                </c:pt>
                <c:pt idx="1212">
                  <c:v>2021-09-14</c:v>
                </c:pt>
                <c:pt idx="1213">
                  <c:v>2021-09-13</c:v>
                </c:pt>
                <c:pt idx="1214">
                  <c:v>2021-09-10</c:v>
                </c:pt>
                <c:pt idx="1215">
                  <c:v>2021-09-09</c:v>
                </c:pt>
                <c:pt idx="1216">
                  <c:v>2021-09-08</c:v>
                </c:pt>
                <c:pt idx="1217">
                  <c:v>2021-09-07</c:v>
                </c:pt>
                <c:pt idx="1218">
                  <c:v>2021-09-03</c:v>
                </c:pt>
                <c:pt idx="1219">
                  <c:v>2021-09-02</c:v>
                </c:pt>
                <c:pt idx="1220">
                  <c:v>2021-09-01</c:v>
                </c:pt>
                <c:pt idx="1221">
                  <c:v>2021-08-31</c:v>
                </c:pt>
                <c:pt idx="1222">
                  <c:v>2021-08-30</c:v>
                </c:pt>
                <c:pt idx="1223">
                  <c:v>2021-08-27</c:v>
                </c:pt>
                <c:pt idx="1224">
                  <c:v>2021-08-26</c:v>
                </c:pt>
                <c:pt idx="1225">
                  <c:v>2021-08-25</c:v>
                </c:pt>
                <c:pt idx="1226">
                  <c:v>2021-08-24</c:v>
                </c:pt>
                <c:pt idx="1227">
                  <c:v>2021-08-23</c:v>
                </c:pt>
                <c:pt idx="1228">
                  <c:v>2021-08-20</c:v>
                </c:pt>
                <c:pt idx="1229">
                  <c:v>2021-08-19</c:v>
                </c:pt>
                <c:pt idx="1230">
                  <c:v>2021-08-18</c:v>
                </c:pt>
                <c:pt idx="1231">
                  <c:v>2021-08-17</c:v>
                </c:pt>
                <c:pt idx="1232">
                  <c:v>2021-08-16</c:v>
                </c:pt>
                <c:pt idx="1233">
                  <c:v>2021-08-13</c:v>
                </c:pt>
                <c:pt idx="1234">
                  <c:v>2021-08-12</c:v>
                </c:pt>
                <c:pt idx="1235">
                  <c:v>2021-08-11</c:v>
                </c:pt>
                <c:pt idx="1236">
                  <c:v>2021-08-10</c:v>
                </c:pt>
                <c:pt idx="1237">
                  <c:v>2021-08-09</c:v>
                </c:pt>
                <c:pt idx="1238">
                  <c:v>2021-08-06</c:v>
                </c:pt>
                <c:pt idx="1239">
                  <c:v>2021-08-05</c:v>
                </c:pt>
                <c:pt idx="1240">
                  <c:v>2021-08-04</c:v>
                </c:pt>
                <c:pt idx="1241">
                  <c:v>2021-08-03</c:v>
                </c:pt>
                <c:pt idx="1242">
                  <c:v>2021-08-02</c:v>
                </c:pt>
                <c:pt idx="1243">
                  <c:v>2021-07-30</c:v>
                </c:pt>
                <c:pt idx="1244">
                  <c:v>2021-07-29</c:v>
                </c:pt>
                <c:pt idx="1245">
                  <c:v>2021-07-28</c:v>
                </c:pt>
                <c:pt idx="1246">
                  <c:v>2021-07-27</c:v>
                </c:pt>
                <c:pt idx="1247">
                  <c:v>2021-07-26</c:v>
                </c:pt>
                <c:pt idx="1248">
                  <c:v>2021-07-23</c:v>
                </c:pt>
                <c:pt idx="1249">
                  <c:v>2021-07-22</c:v>
                </c:pt>
                <c:pt idx="1250">
                  <c:v>2021-07-21</c:v>
                </c:pt>
                <c:pt idx="1251">
                  <c:v>2021-07-20</c:v>
                </c:pt>
                <c:pt idx="1252">
                  <c:v>2021-07-19</c:v>
                </c:pt>
                <c:pt idx="1253">
                  <c:v>2021-07-16</c:v>
                </c:pt>
                <c:pt idx="1254">
                  <c:v>2021-07-15</c:v>
                </c:pt>
                <c:pt idx="1255">
                  <c:v>2021-07-14</c:v>
                </c:pt>
                <c:pt idx="1256">
                  <c:v>2021-07-13</c:v>
                </c:pt>
              </c:strCache>
            </c:strRef>
          </c:cat>
          <c:val>
            <c:numRef>
              <c:f>Data!$C$6:$C$1262</c:f>
              <c:numCache>
                <c:formatCode>General</c:formatCode>
                <c:ptCount val="1257"/>
                <c:pt idx="0">
                  <c:v>327.5</c:v>
                </c:pt>
                <c:pt idx="1">
                  <c:v>314.86</c:v>
                </c:pt>
                <c:pt idx="2">
                  <c:v>317.31</c:v>
                </c:pt>
                <c:pt idx="3">
                  <c:v>315.32</c:v>
                </c:pt>
                <c:pt idx="4">
                  <c:v>316.22000000000003</c:v>
                </c:pt>
                <c:pt idx="5">
                  <c:v>313.39</c:v>
                </c:pt>
                <c:pt idx="6">
                  <c:v>310.66000000000003</c:v>
                </c:pt>
                <c:pt idx="7">
                  <c:v>312.66000000000003</c:v>
                </c:pt>
                <c:pt idx="8">
                  <c:v>308.63</c:v>
                </c:pt>
                <c:pt idx="9">
                  <c:v>294.38</c:v>
                </c:pt>
                <c:pt idx="10">
                  <c:v>289.36</c:v>
                </c:pt>
                <c:pt idx="11">
                  <c:v>281.74</c:v>
                </c:pt>
                <c:pt idx="12">
                  <c:v>283.77999999999997</c:v>
                </c:pt>
                <c:pt idx="13">
                  <c:v>275.14999999999998</c:v>
                </c:pt>
                <c:pt idx="14">
                  <c:v>293.08</c:v>
                </c:pt>
                <c:pt idx="15">
                  <c:v>294.3</c:v>
                </c:pt>
                <c:pt idx="16">
                  <c:v>297.01</c:v>
                </c:pt>
                <c:pt idx="17">
                  <c:v>298.01</c:v>
                </c:pt>
                <c:pt idx="18">
                  <c:v>295.95</c:v>
                </c:pt>
                <c:pt idx="19">
                  <c:v>299.24</c:v>
                </c:pt>
                <c:pt idx="20">
                  <c:v>296.42</c:v>
                </c:pt>
                <c:pt idx="21">
                  <c:v>291.13</c:v>
                </c:pt>
                <c:pt idx="22">
                  <c:v>295.63</c:v>
                </c:pt>
                <c:pt idx="23">
                  <c:v>291.58</c:v>
                </c:pt>
                <c:pt idx="24">
                  <c:v>290.55</c:v>
                </c:pt>
                <c:pt idx="25">
                  <c:v>301.54000000000002</c:v>
                </c:pt>
                <c:pt idx="26">
                  <c:v>307.33999999999997</c:v>
                </c:pt>
                <c:pt idx="27">
                  <c:v>311.23</c:v>
                </c:pt>
                <c:pt idx="28">
                  <c:v>310.26</c:v>
                </c:pt>
                <c:pt idx="29">
                  <c:v>315.2</c:v>
                </c:pt>
                <c:pt idx="30">
                  <c:v>306.31</c:v>
                </c:pt>
                <c:pt idx="31">
                  <c:v>312.06</c:v>
                </c:pt>
                <c:pt idx="32">
                  <c:v>312.51</c:v>
                </c:pt>
                <c:pt idx="33">
                  <c:v>310.85000000000002</c:v>
                </c:pt>
                <c:pt idx="34">
                  <c:v>308.33</c:v>
                </c:pt>
                <c:pt idx="35">
                  <c:v>308.82</c:v>
                </c:pt>
                <c:pt idx="36">
                  <c:v>304.99</c:v>
                </c:pt>
                <c:pt idx="37">
                  <c:v>302.25</c:v>
                </c:pt>
                <c:pt idx="38">
                  <c:v>298.97000000000003</c:v>
                </c:pt>
                <c:pt idx="39">
                  <c:v>297.83999999999997</c:v>
                </c:pt>
                <c:pt idx="40">
                  <c:v>300.23</c:v>
                </c:pt>
                <c:pt idx="41">
                  <c:v>298.20999999999998</c:v>
                </c:pt>
                <c:pt idx="42">
                  <c:v>298.87</c:v>
                </c:pt>
                <c:pt idx="43">
                  <c:v>294.8</c:v>
                </c:pt>
                <c:pt idx="44">
                  <c:v>292.68</c:v>
                </c:pt>
                <c:pt idx="45">
                  <c:v>293.32</c:v>
                </c:pt>
                <c:pt idx="46">
                  <c:v>287.44</c:v>
                </c:pt>
                <c:pt idx="47">
                  <c:v>287.51</c:v>
                </c:pt>
                <c:pt idx="48">
                  <c:v>284.18</c:v>
                </c:pt>
                <c:pt idx="49">
                  <c:v>276.83</c:v>
                </c:pt>
                <c:pt idx="50">
                  <c:v>280.14</c:v>
                </c:pt>
                <c:pt idx="51">
                  <c:v>271.35000000000002</c:v>
                </c:pt>
                <c:pt idx="52">
                  <c:v>270.22000000000003</c:v>
                </c:pt>
                <c:pt idx="53">
                  <c:v>270.70999999999998</c:v>
                </c:pt>
                <c:pt idx="54">
                  <c:v>267.61</c:v>
                </c:pt>
                <c:pt idx="55">
                  <c:v>271.06</c:v>
                </c:pt>
                <c:pt idx="56">
                  <c:v>273.43</c:v>
                </c:pt>
                <c:pt idx="57">
                  <c:v>273.17</c:v>
                </c:pt>
                <c:pt idx="58">
                  <c:v>266.17</c:v>
                </c:pt>
                <c:pt idx="59">
                  <c:v>273.05</c:v>
                </c:pt>
                <c:pt idx="60">
                  <c:v>270.23</c:v>
                </c:pt>
                <c:pt idx="61">
                  <c:v>263.39999999999998</c:v>
                </c:pt>
                <c:pt idx="62">
                  <c:v>266.43</c:v>
                </c:pt>
                <c:pt idx="63">
                  <c:v>258.83</c:v>
                </c:pt>
                <c:pt idx="64">
                  <c:v>259.2</c:v>
                </c:pt>
                <c:pt idx="65">
                  <c:v>260.48</c:v>
                </c:pt>
                <c:pt idx="66">
                  <c:v>260.49</c:v>
                </c:pt>
                <c:pt idx="67">
                  <c:v>258.89999999999998</c:v>
                </c:pt>
                <c:pt idx="68">
                  <c:v>253.5</c:v>
                </c:pt>
                <c:pt idx="69">
                  <c:v>258.86</c:v>
                </c:pt>
                <c:pt idx="70">
                  <c:v>255.92</c:v>
                </c:pt>
                <c:pt idx="71">
                  <c:v>255.63</c:v>
                </c:pt>
                <c:pt idx="72">
                  <c:v>253.79</c:v>
                </c:pt>
                <c:pt idx="73">
                  <c:v>246.63</c:v>
                </c:pt>
                <c:pt idx="74">
                  <c:v>248.8</c:v>
                </c:pt>
                <c:pt idx="75">
                  <c:v>252.89</c:v>
                </c:pt>
                <c:pt idx="76">
                  <c:v>252.62</c:v>
                </c:pt>
                <c:pt idx="77">
                  <c:v>251.64</c:v>
                </c:pt>
                <c:pt idx="78">
                  <c:v>251.49</c:v>
                </c:pt>
                <c:pt idx="79">
                  <c:v>247.99</c:v>
                </c:pt>
                <c:pt idx="80">
                  <c:v>248.96</c:v>
                </c:pt>
                <c:pt idx="81">
                  <c:v>249.94</c:v>
                </c:pt>
                <c:pt idx="82">
                  <c:v>254.23</c:v>
                </c:pt>
                <c:pt idx="83">
                  <c:v>252.82</c:v>
                </c:pt>
                <c:pt idx="84">
                  <c:v>250.12</c:v>
                </c:pt>
                <c:pt idx="85">
                  <c:v>255.76</c:v>
                </c:pt>
                <c:pt idx="86">
                  <c:v>260.81</c:v>
                </c:pt>
                <c:pt idx="87">
                  <c:v>260.83</c:v>
                </c:pt>
                <c:pt idx="88">
                  <c:v>259.88</c:v>
                </c:pt>
                <c:pt idx="89">
                  <c:v>257.45999999999998</c:v>
                </c:pt>
                <c:pt idx="90">
                  <c:v>260.29000000000002</c:v>
                </c:pt>
                <c:pt idx="91">
                  <c:v>262.52</c:v>
                </c:pt>
                <c:pt idx="92">
                  <c:v>263.75</c:v>
                </c:pt>
                <c:pt idx="93">
                  <c:v>264.72000000000003</c:v>
                </c:pt>
                <c:pt idx="94">
                  <c:v>264.18</c:v>
                </c:pt>
                <c:pt idx="95">
                  <c:v>272.95</c:v>
                </c:pt>
                <c:pt idx="96">
                  <c:v>274.23</c:v>
                </c:pt>
                <c:pt idx="97">
                  <c:v>272.14</c:v>
                </c:pt>
                <c:pt idx="98">
                  <c:v>266.18</c:v>
                </c:pt>
                <c:pt idx="99">
                  <c:v>264.58</c:v>
                </c:pt>
                <c:pt idx="100">
                  <c:v>260.58</c:v>
                </c:pt>
                <c:pt idx="101">
                  <c:v>264.35000000000002</c:v>
                </c:pt>
                <c:pt idx="102">
                  <c:v>263.88</c:v>
                </c:pt>
                <c:pt idx="103">
                  <c:v>255.78</c:v>
                </c:pt>
                <c:pt idx="104">
                  <c:v>261.73</c:v>
                </c:pt>
                <c:pt idx="105">
                  <c:v>275.5</c:v>
                </c:pt>
                <c:pt idx="106">
                  <c:v>273.68</c:v>
                </c:pt>
                <c:pt idx="107">
                  <c:v>274.62</c:v>
                </c:pt>
                <c:pt idx="108">
                  <c:v>278.12</c:v>
                </c:pt>
                <c:pt idx="109">
                  <c:v>275.91000000000003</c:v>
                </c:pt>
                <c:pt idx="110">
                  <c:v>276.49</c:v>
                </c:pt>
                <c:pt idx="111">
                  <c:v>269.48</c:v>
                </c:pt>
                <c:pt idx="112">
                  <c:v>270.01</c:v>
                </c:pt>
                <c:pt idx="113">
                  <c:v>259.48</c:v>
                </c:pt>
                <c:pt idx="114">
                  <c:v>258.27999999999997</c:v>
                </c:pt>
                <c:pt idx="115">
                  <c:v>256.44</c:v>
                </c:pt>
                <c:pt idx="116">
                  <c:v>258.27</c:v>
                </c:pt>
                <c:pt idx="117">
                  <c:v>255.41</c:v>
                </c:pt>
                <c:pt idx="118">
                  <c:v>248.04</c:v>
                </c:pt>
                <c:pt idx="119">
                  <c:v>248.35</c:v>
                </c:pt>
                <c:pt idx="120">
                  <c:v>247.65</c:v>
                </c:pt>
                <c:pt idx="121">
                  <c:v>246.7</c:v>
                </c:pt>
                <c:pt idx="122">
                  <c:v>255.53</c:v>
                </c:pt>
                <c:pt idx="123">
                  <c:v>258.20999999999998</c:v>
                </c:pt>
                <c:pt idx="124">
                  <c:v>259.95999999999998</c:v>
                </c:pt>
                <c:pt idx="125">
                  <c:v>261.05</c:v>
                </c:pt>
                <c:pt idx="126">
                  <c:v>260.25</c:v>
                </c:pt>
                <c:pt idx="127">
                  <c:v>259.37</c:v>
                </c:pt>
                <c:pt idx="128">
                  <c:v>259.04000000000002</c:v>
                </c:pt>
                <c:pt idx="129">
                  <c:v>260.33</c:v>
                </c:pt>
                <c:pt idx="130">
                  <c:v>262.36</c:v>
                </c:pt>
                <c:pt idx="131">
                  <c:v>267.26</c:v>
                </c:pt>
                <c:pt idx="132">
                  <c:v>271.01</c:v>
                </c:pt>
                <c:pt idx="133">
                  <c:v>271.86</c:v>
                </c:pt>
                <c:pt idx="134">
                  <c:v>273.08</c:v>
                </c:pt>
                <c:pt idx="135">
                  <c:v>273.76</c:v>
                </c:pt>
                <c:pt idx="136">
                  <c:v>273.39999999999998</c:v>
                </c:pt>
                <c:pt idx="137">
                  <c:v>273.81</c:v>
                </c:pt>
                <c:pt idx="138">
                  <c:v>272.36</c:v>
                </c:pt>
                <c:pt idx="139">
                  <c:v>270.97000000000003</c:v>
                </c:pt>
                <c:pt idx="140">
                  <c:v>273.67</c:v>
                </c:pt>
                <c:pt idx="141">
                  <c:v>272.19</c:v>
                </c:pt>
                <c:pt idx="142">
                  <c:v>271.83999999999997</c:v>
                </c:pt>
                <c:pt idx="143">
                  <c:v>274.61</c:v>
                </c:pt>
                <c:pt idx="144">
                  <c:v>274.11</c:v>
                </c:pt>
                <c:pt idx="145">
                  <c:v>278.27999999999997</c:v>
                </c:pt>
                <c:pt idx="146">
                  <c:v>278.02999999999997</c:v>
                </c:pt>
                <c:pt idx="147">
                  <c:v>278.77999999999997</c:v>
                </c:pt>
                <c:pt idx="148">
                  <c:v>277.18</c:v>
                </c:pt>
                <c:pt idx="149">
                  <c:v>277.89</c:v>
                </c:pt>
                <c:pt idx="150">
                  <c:v>278.77999999999997</c:v>
                </c:pt>
                <c:pt idx="151">
                  <c:v>280.7</c:v>
                </c:pt>
                <c:pt idx="152">
                  <c:v>284.14999999999998</c:v>
                </c:pt>
                <c:pt idx="153">
                  <c:v>286.19</c:v>
                </c:pt>
                <c:pt idx="154">
                  <c:v>283.10000000000002</c:v>
                </c:pt>
                <c:pt idx="155">
                  <c:v>278.85000000000002</c:v>
                </c:pt>
                <c:pt idx="156">
                  <c:v>277.55</c:v>
                </c:pt>
                <c:pt idx="157">
                  <c:v>276.97000000000003</c:v>
                </c:pt>
                <c:pt idx="158">
                  <c:v>275.92</c:v>
                </c:pt>
                <c:pt idx="159">
                  <c:v>271.49</c:v>
                </c:pt>
                <c:pt idx="160">
                  <c:v>266.25</c:v>
                </c:pt>
                <c:pt idx="161">
                  <c:v>268.56</c:v>
                </c:pt>
                <c:pt idx="162">
                  <c:v>267.44</c:v>
                </c:pt>
                <c:pt idx="163">
                  <c:v>267.45999999999998</c:v>
                </c:pt>
                <c:pt idx="164">
                  <c:v>272.41000000000003</c:v>
                </c:pt>
                <c:pt idx="165">
                  <c:v>272.95</c:v>
                </c:pt>
                <c:pt idx="166">
                  <c:v>273.47000000000003</c:v>
                </c:pt>
                <c:pt idx="167">
                  <c:v>275.25</c:v>
                </c:pt>
                <c:pt idx="168">
                  <c:v>269.43</c:v>
                </c:pt>
                <c:pt idx="169">
                  <c:v>268.47000000000003</c:v>
                </c:pt>
                <c:pt idx="170">
                  <c:v>269.77</c:v>
                </c:pt>
                <c:pt idx="171">
                  <c:v>270.14</c:v>
                </c:pt>
                <c:pt idx="172">
                  <c:v>270.04000000000002</c:v>
                </c:pt>
                <c:pt idx="173">
                  <c:v>269.05</c:v>
                </c:pt>
                <c:pt idx="174">
                  <c:v>270.37</c:v>
                </c:pt>
                <c:pt idx="175">
                  <c:v>271.39999999999998</c:v>
                </c:pt>
                <c:pt idx="176">
                  <c:v>269.7</c:v>
                </c:pt>
                <c:pt idx="177">
                  <c:v>269</c:v>
                </c:pt>
                <c:pt idx="178">
                  <c:v>268.81</c:v>
                </c:pt>
                <c:pt idx="179">
                  <c:v>262.82</c:v>
                </c:pt>
                <c:pt idx="180">
                  <c:v>259.58</c:v>
                </c:pt>
                <c:pt idx="181">
                  <c:v>258.45</c:v>
                </c:pt>
                <c:pt idx="182">
                  <c:v>262.77</c:v>
                </c:pt>
                <c:pt idx="183">
                  <c:v>262.24</c:v>
                </c:pt>
                <c:pt idx="184">
                  <c:v>252.29</c:v>
                </c:pt>
                <c:pt idx="185">
                  <c:v>247.45</c:v>
                </c:pt>
                <c:pt idx="186">
                  <c:v>249.34</c:v>
                </c:pt>
                <c:pt idx="187">
                  <c:v>247.77</c:v>
                </c:pt>
                <c:pt idx="188">
                  <c:v>247.66</c:v>
                </c:pt>
                <c:pt idx="189">
                  <c:v>245.27</c:v>
                </c:pt>
                <c:pt idx="190">
                  <c:v>254.04</c:v>
                </c:pt>
                <c:pt idx="191">
                  <c:v>258.06</c:v>
                </c:pt>
                <c:pt idx="192">
                  <c:v>256.48</c:v>
                </c:pt>
                <c:pt idx="193">
                  <c:v>256.69</c:v>
                </c:pt>
                <c:pt idx="194">
                  <c:v>258.02</c:v>
                </c:pt>
                <c:pt idx="195">
                  <c:v>257.13</c:v>
                </c:pt>
                <c:pt idx="196">
                  <c:v>255.45</c:v>
                </c:pt>
                <c:pt idx="197">
                  <c:v>254.63</c:v>
                </c:pt>
                <c:pt idx="198">
                  <c:v>254.43</c:v>
                </c:pt>
                <c:pt idx="199">
                  <c:v>255.46</c:v>
                </c:pt>
                <c:pt idx="200">
                  <c:v>256.87</c:v>
                </c:pt>
                <c:pt idx="201">
                  <c:v>252.31</c:v>
                </c:pt>
                <c:pt idx="202">
                  <c:v>254.43</c:v>
                </c:pt>
                <c:pt idx="203">
                  <c:v>256.08</c:v>
                </c:pt>
                <c:pt idx="204">
                  <c:v>245.5</c:v>
                </c:pt>
                <c:pt idx="205">
                  <c:v>237.88</c:v>
                </c:pt>
                <c:pt idx="206">
                  <c:v>238.99</c:v>
                </c:pt>
                <c:pt idx="207">
                  <c:v>238.15</c:v>
                </c:pt>
                <c:pt idx="208">
                  <c:v>236.7</c:v>
                </c:pt>
                <c:pt idx="209">
                  <c:v>234.07</c:v>
                </c:pt>
                <c:pt idx="210">
                  <c:v>230.03</c:v>
                </c:pt>
                <c:pt idx="211">
                  <c:v>226.79</c:v>
                </c:pt>
                <c:pt idx="212">
                  <c:v>234.35</c:v>
                </c:pt>
                <c:pt idx="213">
                  <c:v>237.88</c:v>
                </c:pt>
                <c:pt idx="214">
                  <c:v>239.69</c:v>
                </c:pt>
                <c:pt idx="215">
                  <c:v>239.78</c:v>
                </c:pt>
                <c:pt idx="216">
                  <c:v>238.47</c:v>
                </c:pt>
                <c:pt idx="217">
                  <c:v>229.72</c:v>
                </c:pt>
                <c:pt idx="218">
                  <c:v>232.14</c:v>
                </c:pt>
                <c:pt idx="219">
                  <c:v>232.56</c:v>
                </c:pt>
                <c:pt idx="220">
                  <c:v>230.49</c:v>
                </c:pt>
                <c:pt idx="221">
                  <c:v>229.31</c:v>
                </c:pt>
                <c:pt idx="222">
                  <c:v>227.16</c:v>
                </c:pt>
                <c:pt idx="223">
                  <c:v>227.76</c:v>
                </c:pt>
                <c:pt idx="224">
                  <c:v>224.9</c:v>
                </c:pt>
                <c:pt idx="225">
                  <c:v>226.01</c:v>
                </c:pt>
                <c:pt idx="226">
                  <c:v>230.56</c:v>
                </c:pt>
                <c:pt idx="227">
                  <c:v>230.89</c:v>
                </c:pt>
                <c:pt idx="228">
                  <c:v>231.59</c:v>
                </c:pt>
                <c:pt idx="229">
                  <c:v>232.78</c:v>
                </c:pt>
                <c:pt idx="230">
                  <c:v>233.33</c:v>
                </c:pt>
                <c:pt idx="231">
                  <c:v>229.65</c:v>
                </c:pt>
                <c:pt idx="232">
                  <c:v>227.18</c:v>
                </c:pt>
                <c:pt idx="233">
                  <c:v>229.35</c:v>
                </c:pt>
                <c:pt idx="234">
                  <c:v>220.03</c:v>
                </c:pt>
                <c:pt idx="235">
                  <c:v>213.25</c:v>
                </c:pt>
                <c:pt idx="236">
                  <c:v>202.92</c:v>
                </c:pt>
                <c:pt idx="237">
                  <c:v>203.35</c:v>
                </c:pt>
                <c:pt idx="238">
                  <c:v>202.38</c:v>
                </c:pt>
                <c:pt idx="239">
                  <c:v>207.57</c:v>
                </c:pt>
                <c:pt idx="240">
                  <c:v>209.05</c:v>
                </c:pt>
                <c:pt idx="241">
                  <c:v>211.27</c:v>
                </c:pt>
                <c:pt idx="242">
                  <c:v>214.05</c:v>
                </c:pt>
                <c:pt idx="243">
                  <c:v>213.88</c:v>
                </c:pt>
                <c:pt idx="244">
                  <c:v>213.76</c:v>
                </c:pt>
                <c:pt idx="245">
                  <c:v>214.15</c:v>
                </c:pt>
                <c:pt idx="246">
                  <c:v>214.4</c:v>
                </c:pt>
                <c:pt idx="247">
                  <c:v>212.48</c:v>
                </c:pt>
                <c:pt idx="248">
                  <c:v>211.18</c:v>
                </c:pt>
                <c:pt idx="249">
                  <c:v>210.02</c:v>
                </c:pt>
                <c:pt idx="250">
                  <c:v>210.16</c:v>
                </c:pt>
                <c:pt idx="251">
                  <c:v>209.11</c:v>
                </c:pt>
                <c:pt idx="252">
                  <c:v>208.62</c:v>
                </c:pt>
                <c:pt idx="253">
                  <c:v>211.16</c:v>
                </c:pt>
                <c:pt idx="254">
                  <c:v>212.41</c:v>
                </c:pt>
                <c:pt idx="255">
                  <c:v>211.14</c:v>
                </c:pt>
                <c:pt idx="256">
                  <c:v>210.01</c:v>
                </c:pt>
                <c:pt idx="257">
                  <c:v>209.95</c:v>
                </c:pt>
                <c:pt idx="258">
                  <c:v>213.55</c:v>
                </c:pt>
                <c:pt idx="259">
                  <c:v>212.44</c:v>
                </c:pt>
                <c:pt idx="260">
                  <c:v>207.82</c:v>
                </c:pt>
                <c:pt idx="261">
                  <c:v>205.17</c:v>
                </c:pt>
                <c:pt idx="262">
                  <c:v>201.08</c:v>
                </c:pt>
                <c:pt idx="263">
                  <c:v>201</c:v>
                </c:pt>
                <c:pt idx="264">
                  <c:v>201.56</c:v>
                </c:pt>
                <c:pt idx="265">
                  <c:v>200.3</c:v>
                </c:pt>
                <c:pt idx="266">
                  <c:v>201.5</c:v>
                </c:pt>
                <c:pt idx="267">
                  <c:v>201</c:v>
                </c:pt>
                <c:pt idx="268">
                  <c:v>196.58</c:v>
                </c:pt>
                <c:pt idx="269">
                  <c:v>195.64</c:v>
                </c:pt>
                <c:pt idx="270">
                  <c:v>198.42</c:v>
                </c:pt>
                <c:pt idx="271">
                  <c:v>196.45</c:v>
                </c:pt>
                <c:pt idx="272">
                  <c:v>199.2</c:v>
                </c:pt>
                <c:pt idx="273">
                  <c:v>198.78</c:v>
                </c:pt>
                <c:pt idx="274">
                  <c:v>202.67</c:v>
                </c:pt>
                <c:pt idx="275">
                  <c:v>201.45</c:v>
                </c:pt>
                <c:pt idx="276">
                  <c:v>203.92</c:v>
                </c:pt>
                <c:pt idx="277">
                  <c:v>200.63</c:v>
                </c:pt>
                <c:pt idx="278">
                  <c:v>202.82</c:v>
                </c:pt>
                <c:pt idx="279">
                  <c:v>203.27</c:v>
                </c:pt>
                <c:pt idx="280">
                  <c:v>201.7</c:v>
                </c:pt>
                <c:pt idx="281">
                  <c:v>200.85</c:v>
                </c:pt>
                <c:pt idx="282">
                  <c:v>199.95</c:v>
                </c:pt>
                <c:pt idx="283">
                  <c:v>200.42</c:v>
                </c:pt>
                <c:pt idx="284">
                  <c:v>200.21</c:v>
                </c:pt>
                <c:pt idx="285">
                  <c:v>195.27</c:v>
                </c:pt>
                <c:pt idx="286">
                  <c:v>201.36</c:v>
                </c:pt>
                <c:pt idx="287">
                  <c:v>202.09</c:v>
                </c:pt>
                <c:pt idx="288">
                  <c:v>206.86</c:v>
                </c:pt>
                <c:pt idx="289">
                  <c:v>208.78</c:v>
                </c:pt>
                <c:pt idx="290">
                  <c:v>211.26</c:v>
                </c:pt>
                <c:pt idx="291">
                  <c:v>211.45</c:v>
                </c:pt>
                <c:pt idx="292">
                  <c:v>212.33</c:v>
                </c:pt>
                <c:pt idx="293">
                  <c:v>212.93</c:v>
                </c:pt>
                <c:pt idx="294">
                  <c:v>210.79</c:v>
                </c:pt>
                <c:pt idx="295">
                  <c:v>198.53</c:v>
                </c:pt>
                <c:pt idx="296">
                  <c:v>197.49</c:v>
                </c:pt>
                <c:pt idx="297">
                  <c:v>196.25</c:v>
                </c:pt>
                <c:pt idx="298">
                  <c:v>198.51</c:v>
                </c:pt>
                <c:pt idx="299">
                  <c:v>198.89</c:v>
                </c:pt>
                <c:pt idx="300">
                  <c:v>205.35</c:v>
                </c:pt>
                <c:pt idx="301">
                  <c:v>213.32</c:v>
                </c:pt>
                <c:pt idx="302">
                  <c:v>212.5</c:v>
                </c:pt>
                <c:pt idx="303">
                  <c:v>211.21</c:v>
                </c:pt>
                <c:pt idx="304">
                  <c:v>210.14</c:v>
                </c:pt>
                <c:pt idx="305">
                  <c:v>209.28</c:v>
                </c:pt>
                <c:pt idx="306">
                  <c:v>208.37</c:v>
                </c:pt>
                <c:pt idx="307">
                  <c:v>204.6</c:v>
                </c:pt>
                <c:pt idx="308">
                  <c:v>199.74</c:v>
                </c:pt>
                <c:pt idx="309">
                  <c:v>193.16</c:v>
                </c:pt>
                <c:pt idx="310">
                  <c:v>196.98</c:v>
                </c:pt>
                <c:pt idx="311">
                  <c:v>194.27</c:v>
                </c:pt>
                <c:pt idx="312">
                  <c:v>202.14</c:v>
                </c:pt>
                <c:pt idx="313">
                  <c:v>202.52</c:v>
                </c:pt>
                <c:pt idx="314">
                  <c:v>198.15</c:v>
                </c:pt>
                <c:pt idx="315">
                  <c:v>190.42</c:v>
                </c:pt>
                <c:pt idx="316">
                  <c:v>198.85</c:v>
                </c:pt>
                <c:pt idx="317">
                  <c:v>172.42</c:v>
                </c:pt>
                <c:pt idx="318">
                  <c:v>181.46</c:v>
                </c:pt>
                <c:pt idx="319">
                  <c:v>188.38</c:v>
                </c:pt>
                <c:pt idx="320">
                  <c:v>203.19</c:v>
                </c:pt>
                <c:pt idx="321">
                  <c:v>223.89</c:v>
                </c:pt>
                <c:pt idx="322">
                  <c:v>223.19</c:v>
                </c:pt>
                <c:pt idx="323">
                  <c:v>222.13</c:v>
                </c:pt>
                <c:pt idx="324">
                  <c:v>217.9</c:v>
                </c:pt>
                <c:pt idx="325">
                  <c:v>223.85</c:v>
                </c:pt>
                <c:pt idx="326">
                  <c:v>221.53</c:v>
                </c:pt>
                <c:pt idx="327">
                  <c:v>223.75</c:v>
                </c:pt>
                <c:pt idx="328">
                  <c:v>220.73</c:v>
                </c:pt>
                <c:pt idx="329">
                  <c:v>218.27</c:v>
                </c:pt>
                <c:pt idx="330">
                  <c:v>214.1</c:v>
                </c:pt>
                <c:pt idx="331">
                  <c:v>215.24</c:v>
                </c:pt>
                <c:pt idx="332">
                  <c:v>212.69</c:v>
                </c:pt>
                <c:pt idx="333">
                  <c:v>214</c:v>
                </c:pt>
                <c:pt idx="334">
                  <c:v>213.49</c:v>
                </c:pt>
                <c:pt idx="335">
                  <c:v>209.68</c:v>
                </c:pt>
                <c:pt idx="336">
                  <c:v>216.98</c:v>
                </c:pt>
                <c:pt idx="337">
                  <c:v>220.84</c:v>
                </c:pt>
                <c:pt idx="338">
                  <c:v>227.48</c:v>
                </c:pt>
                <c:pt idx="339">
                  <c:v>239.07</c:v>
                </c:pt>
                <c:pt idx="340">
                  <c:v>235.33</c:v>
                </c:pt>
                <c:pt idx="341">
                  <c:v>235.74</c:v>
                </c:pt>
                <c:pt idx="342">
                  <c:v>235.93</c:v>
                </c:pt>
                <c:pt idx="343">
                  <c:v>238.03</c:v>
                </c:pt>
                <c:pt idx="344">
                  <c:v>241.84</c:v>
                </c:pt>
                <c:pt idx="345">
                  <c:v>237.3</c:v>
                </c:pt>
                <c:pt idx="346">
                  <c:v>240.36</c:v>
                </c:pt>
                <c:pt idx="347">
                  <c:v>247.04</c:v>
                </c:pt>
                <c:pt idx="348">
                  <c:v>247.1</c:v>
                </c:pt>
                <c:pt idx="349">
                  <c:v>245.55</c:v>
                </c:pt>
                <c:pt idx="350">
                  <c:v>245.83</c:v>
                </c:pt>
                <c:pt idx="351">
                  <c:v>244.87</c:v>
                </c:pt>
                <c:pt idx="352">
                  <c:v>244.47</c:v>
                </c:pt>
                <c:pt idx="353">
                  <c:v>244.6</c:v>
                </c:pt>
                <c:pt idx="354">
                  <c:v>241.53</c:v>
                </c:pt>
                <c:pt idx="355">
                  <c:v>236.87</c:v>
                </c:pt>
                <c:pt idx="356">
                  <c:v>232.62</c:v>
                </c:pt>
                <c:pt idx="357">
                  <c:v>227.65</c:v>
                </c:pt>
                <c:pt idx="358">
                  <c:v>227.63</c:v>
                </c:pt>
                <c:pt idx="359">
                  <c:v>233.22</c:v>
                </c:pt>
                <c:pt idx="360">
                  <c:v>232.47</c:v>
                </c:pt>
                <c:pt idx="361">
                  <c:v>232.8</c:v>
                </c:pt>
                <c:pt idx="362">
                  <c:v>228.01</c:v>
                </c:pt>
                <c:pt idx="363">
                  <c:v>236</c:v>
                </c:pt>
                <c:pt idx="364">
                  <c:v>237.59</c:v>
                </c:pt>
                <c:pt idx="365">
                  <c:v>239.36</c:v>
                </c:pt>
                <c:pt idx="366">
                  <c:v>238.26</c:v>
                </c:pt>
                <c:pt idx="367">
                  <c:v>229.86</c:v>
                </c:pt>
                <c:pt idx="368">
                  <c:v>222.78</c:v>
                </c:pt>
                <c:pt idx="369">
                  <c:v>223.66</c:v>
                </c:pt>
                <c:pt idx="370">
                  <c:v>223.83</c:v>
                </c:pt>
                <c:pt idx="371">
                  <c:v>222.64</c:v>
                </c:pt>
                <c:pt idx="372">
                  <c:v>229.98</c:v>
                </c:pt>
                <c:pt idx="373">
                  <c:v>228.26</c:v>
                </c:pt>
                <c:pt idx="374">
                  <c:v>237.87</c:v>
                </c:pt>
                <c:pt idx="375">
                  <c:v>233.28</c:v>
                </c:pt>
                <c:pt idx="376">
                  <c:v>234.4</c:v>
                </c:pt>
                <c:pt idx="377">
                  <c:v>236.85</c:v>
                </c:pt>
                <c:pt idx="378">
                  <c:v>242.7</c:v>
                </c:pt>
                <c:pt idx="379">
                  <c:v>242.21</c:v>
                </c:pt>
                <c:pt idx="380">
                  <c:v>245</c:v>
                </c:pt>
                <c:pt idx="381">
                  <c:v>243.36</c:v>
                </c:pt>
                <c:pt idx="382">
                  <c:v>243.85</c:v>
                </c:pt>
                <c:pt idx="383">
                  <c:v>250.42</c:v>
                </c:pt>
                <c:pt idx="384">
                  <c:v>252.2</c:v>
                </c:pt>
                <c:pt idx="385">
                  <c:v>255.59</c:v>
                </c:pt>
                <c:pt idx="386">
                  <c:v>259.02</c:v>
                </c:pt>
                <c:pt idx="387">
                  <c:v>258.2</c:v>
                </c:pt>
                <c:pt idx="388">
                  <c:v>255.27</c:v>
                </c:pt>
                <c:pt idx="389">
                  <c:v>254.49</c:v>
                </c:pt>
                <c:pt idx="390">
                  <c:v>249.79</c:v>
                </c:pt>
                <c:pt idx="391">
                  <c:v>248.05</c:v>
                </c:pt>
                <c:pt idx="392">
                  <c:v>253.48</c:v>
                </c:pt>
                <c:pt idx="393">
                  <c:v>251.04</c:v>
                </c:pt>
                <c:pt idx="394">
                  <c:v>248.13</c:v>
                </c:pt>
                <c:pt idx="395">
                  <c:v>247.96</c:v>
                </c:pt>
                <c:pt idx="396">
                  <c:v>246.49</c:v>
                </c:pt>
                <c:pt idx="397">
                  <c:v>247.77</c:v>
                </c:pt>
                <c:pt idx="398">
                  <c:v>246.75</c:v>
                </c:pt>
                <c:pt idx="399">
                  <c:v>242.84</c:v>
                </c:pt>
                <c:pt idx="400">
                  <c:v>243.04</c:v>
                </c:pt>
                <c:pt idx="401">
                  <c:v>243.01</c:v>
                </c:pt>
                <c:pt idx="402">
                  <c:v>242.65</c:v>
                </c:pt>
                <c:pt idx="403">
                  <c:v>239.59</c:v>
                </c:pt>
                <c:pt idx="404">
                  <c:v>237.33</c:v>
                </c:pt>
                <c:pt idx="405">
                  <c:v>234.93</c:v>
                </c:pt>
                <c:pt idx="406">
                  <c:v>235.06</c:v>
                </c:pt>
                <c:pt idx="407">
                  <c:v>232.87</c:v>
                </c:pt>
                <c:pt idx="408">
                  <c:v>229.87</c:v>
                </c:pt>
                <c:pt idx="409">
                  <c:v>228.52</c:v>
                </c:pt>
                <c:pt idx="410">
                  <c:v>229</c:v>
                </c:pt>
                <c:pt idx="411">
                  <c:v>228.28</c:v>
                </c:pt>
                <c:pt idx="412">
                  <c:v>228.02</c:v>
                </c:pt>
                <c:pt idx="413">
                  <c:v>225</c:v>
                </c:pt>
                <c:pt idx="414">
                  <c:v>228.22</c:v>
                </c:pt>
                <c:pt idx="415">
                  <c:v>225.12</c:v>
                </c:pt>
                <c:pt idx="416">
                  <c:v>224.23</c:v>
                </c:pt>
                <c:pt idx="417">
                  <c:v>224.23</c:v>
                </c:pt>
                <c:pt idx="418">
                  <c:v>226.96</c:v>
                </c:pt>
                <c:pt idx="419">
                  <c:v>227.48</c:v>
                </c:pt>
                <c:pt idx="420">
                  <c:v>222.72</c:v>
                </c:pt>
                <c:pt idx="421">
                  <c:v>223.45</c:v>
                </c:pt>
                <c:pt idx="422">
                  <c:v>222.01</c:v>
                </c:pt>
                <c:pt idx="423">
                  <c:v>222.91</c:v>
                </c:pt>
                <c:pt idx="424">
                  <c:v>225.91</c:v>
                </c:pt>
                <c:pt idx="425">
                  <c:v>230.1</c:v>
                </c:pt>
                <c:pt idx="426">
                  <c:v>233.67</c:v>
                </c:pt>
                <c:pt idx="427">
                  <c:v>233.4</c:v>
                </c:pt>
                <c:pt idx="428">
                  <c:v>231.41</c:v>
                </c:pt>
                <c:pt idx="429">
                  <c:v>230.57</c:v>
                </c:pt>
                <c:pt idx="430">
                  <c:v>230.76</c:v>
                </c:pt>
                <c:pt idx="431">
                  <c:v>235.86</c:v>
                </c:pt>
                <c:pt idx="432">
                  <c:v>236.48</c:v>
                </c:pt>
                <c:pt idx="433">
                  <c:v>235</c:v>
                </c:pt>
                <c:pt idx="434">
                  <c:v>232.15</c:v>
                </c:pt>
                <c:pt idx="435">
                  <c:v>231.78</c:v>
                </c:pt>
                <c:pt idx="436">
                  <c:v>233.85</c:v>
                </c:pt>
                <c:pt idx="437">
                  <c:v>231.3</c:v>
                </c:pt>
                <c:pt idx="438">
                  <c:v>227.55</c:v>
                </c:pt>
                <c:pt idx="439">
                  <c:v>229.04</c:v>
                </c:pt>
                <c:pt idx="440">
                  <c:v>229.54</c:v>
                </c:pt>
                <c:pt idx="441">
                  <c:v>225.77</c:v>
                </c:pt>
                <c:pt idx="442">
                  <c:v>221.69</c:v>
                </c:pt>
                <c:pt idx="443">
                  <c:v>226.8</c:v>
                </c:pt>
                <c:pt idx="444">
                  <c:v>225.67</c:v>
                </c:pt>
                <c:pt idx="445">
                  <c:v>226.78</c:v>
                </c:pt>
                <c:pt idx="446">
                  <c:v>226.21</c:v>
                </c:pt>
                <c:pt idx="447">
                  <c:v>233</c:v>
                </c:pt>
                <c:pt idx="448">
                  <c:v>227.79</c:v>
                </c:pt>
                <c:pt idx="449">
                  <c:v>227.52</c:v>
                </c:pt>
                <c:pt idx="450">
                  <c:v>226.37</c:v>
                </c:pt>
                <c:pt idx="451">
                  <c:v>227.37</c:v>
                </c:pt>
                <c:pt idx="452">
                  <c:v>226.47</c:v>
                </c:pt>
                <c:pt idx="453">
                  <c:v>228.2</c:v>
                </c:pt>
                <c:pt idx="454">
                  <c:v>228.87</c:v>
                </c:pt>
                <c:pt idx="455">
                  <c:v>220.69</c:v>
                </c:pt>
                <c:pt idx="456">
                  <c:v>216.79</c:v>
                </c:pt>
                <c:pt idx="457">
                  <c:v>216.32</c:v>
                </c:pt>
                <c:pt idx="458">
                  <c:v>222.5</c:v>
                </c:pt>
                <c:pt idx="459">
                  <c:v>222.77</c:v>
                </c:pt>
                <c:pt idx="460">
                  <c:v>222.66</c:v>
                </c:pt>
                <c:pt idx="461">
                  <c:v>220.11</c:v>
                </c:pt>
                <c:pt idx="462">
                  <c:v>220.91</c:v>
                </c:pt>
                <c:pt idx="463">
                  <c:v>220.82</c:v>
                </c:pt>
                <c:pt idx="464">
                  <c:v>222.38</c:v>
                </c:pt>
                <c:pt idx="465">
                  <c:v>220.85</c:v>
                </c:pt>
                <c:pt idx="466">
                  <c:v>222.77</c:v>
                </c:pt>
                <c:pt idx="467">
                  <c:v>229</c:v>
                </c:pt>
                <c:pt idx="468">
                  <c:v>229.79</c:v>
                </c:pt>
                <c:pt idx="469">
                  <c:v>226.49</c:v>
                </c:pt>
                <c:pt idx="470">
                  <c:v>228.03</c:v>
                </c:pt>
                <c:pt idx="471">
                  <c:v>227.18</c:v>
                </c:pt>
                <c:pt idx="472">
                  <c:v>226.84</c:v>
                </c:pt>
                <c:pt idx="473">
                  <c:v>224.53</c:v>
                </c:pt>
                <c:pt idx="474">
                  <c:v>226.4</c:v>
                </c:pt>
                <c:pt idx="475">
                  <c:v>226.51</c:v>
                </c:pt>
                <c:pt idx="476">
                  <c:v>225.89</c:v>
                </c:pt>
                <c:pt idx="477">
                  <c:v>226.05</c:v>
                </c:pt>
                <c:pt idx="478">
                  <c:v>224.72</c:v>
                </c:pt>
                <c:pt idx="479">
                  <c:v>221.72</c:v>
                </c:pt>
                <c:pt idx="480">
                  <c:v>221.27</c:v>
                </c:pt>
                <c:pt idx="481">
                  <c:v>217.53</c:v>
                </c:pt>
                <c:pt idx="482">
                  <c:v>216.24</c:v>
                </c:pt>
                <c:pt idx="483">
                  <c:v>213.31</c:v>
                </c:pt>
                <c:pt idx="484">
                  <c:v>209.82</c:v>
                </c:pt>
                <c:pt idx="485">
                  <c:v>207.23</c:v>
                </c:pt>
                <c:pt idx="486">
                  <c:v>209.27</c:v>
                </c:pt>
                <c:pt idx="487">
                  <c:v>219.86</c:v>
                </c:pt>
                <c:pt idx="488">
                  <c:v>218.36</c:v>
                </c:pt>
                <c:pt idx="489">
                  <c:v>222.08</c:v>
                </c:pt>
                <c:pt idx="490">
                  <c:v>218.8</c:v>
                </c:pt>
                <c:pt idx="491">
                  <c:v>218.24</c:v>
                </c:pt>
                <c:pt idx="492">
                  <c:v>217.96</c:v>
                </c:pt>
                <c:pt idx="493">
                  <c:v>217.49</c:v>
                </c:pt>
                <c:pt idx="494">
                  <c:v>218.54</c:v>
                </c:pt>
                <c:pt idx="495">
                  <c:v>225.01</c:v>
                </c:pt>
                <c:pt idx="496">
                  <c:v>223.96</c:v>
                </c:pt>
                <c:pt idx="497">
                  <c:v>224.31</c:v>
                </c:pt>
                <c:pt idx="498">
                  <c:v>224.18</c:v>
                </c:pt>
                <c:pt idx="499">
                  <c:v>228.88</c:v>
                </c:pt>
                <c:pt idx="500">
                  <c:v>234.82</c:v>
                </c:pt>
                <c:pt idx="501">
                  <c:v>234.4</c:v>
                </c:pt>
                <c:pt idx="502">
                  <c:v>230.54</c:v>
                </c:pt>
                <c:pt idx="503">
                  <c:v>227.57</c:v>
                </c:pt>
                <c:pt idx="504">
                  <c:v>232.98</c:v>
                </c:pt>
                <c:pt idx="505">
                  <c:v>228.68</c:v>
                </c:pt>
                <c:pt idx="506">
                  <c:v>227.82</c:v>
                </c:pt>
                <c:pt idx="507">
                  <c:v>226.34</c:v>
                </c:pt>
                <c:pt idx="508">
                  <c:v>221.55</c:v>
                </c:pt>
                <c:pt idx="509">
                  <c:v>220.27</c:v>
                </c:pt>
                <c:pt idx="510">
                  <c:v>216.75</c:v>
                </c:pt>
                <c:pt idx="511">
                  <c:v>210.62</c:v>
                </c:pt>
                <c:pt idx="512">
                  <c:v>214.1</c:v>
                </c:pt>
                <c:pt idx="513">
                  <c:v>213.25</c:v>
                </c:pt>
                <c:pt idx="514">
                  <c:v>209.07</c:v>
                </c:pt>
                <c:pt idx="515">
                  <c:v>208.14</c:v>
                </c:pt>
                <c:pt idx="516">
                  <c:v>207.49</c:v>
                </c:pt>
                <c:pt idx="517">
                  <c:v>209.68</c:v>
                </c:pt>
                <c:pt idx="518">
                  <c:v>214.29</c:v>
                </c:pt>
                <c:pt idx="519">
                  <c:v>216.67</c:v>
                </c:pt>
                <c:pt idx="520">
                  <c:v>212.49</c:v>
                </c:pt>
                <c:pt idx="521">
                  <c:v>214.24</c:v>
                </c:pt>
                <c:pt idx="522">
                  <c:v>213.07</c:v>
                </c:pt>
                <c:pt idx="523">
                  <c:v>207.15</c:v>
                </c:pt>
                <c:pt idx="524">
                  <c:v>193.12</c:v>
                </c:pt>
                <c:pt idx="525">
                  <c:v>196.89</c:v>
                </c:pt>
                <c:pt idx="526">
                  <c:v>194.48</c:v>
                </c:pt>
                <c:pt idx="527">
                  <c:v>195.87</c:v>
                </c:pt>
                <c:pt idx="528">
                  <c:v>194.35</c:v>
                </c:pt>
                <c:pt idx="529">
                  <c:v>194.03</c:v>
                </c:pt>
                <c:pt idx="530">
                  <c:v>192.25</c:v>
                </c:pt>
                <c:pt idx="531">
                  <c:v>191.29</c:v>
                </c:pt>
                <c:pt idx="532">
                  <c:v>190.29</c:v>
                </c:pt>
                <c:pt idx="533">
                  <c:v>189.99</c:v>
                </c:pt>
                <c:pt idx="534">
                  <c:v>189.98</c:v>
                </c:pt>
                <c:pt idx="535">
                  <c:v>186.88</c:v>
                </c:pt>
                <c:pt idx="536">
                  <c:v>190.9</c:v>
                </c:pt>
                <c:pt idx="537">
                  <c:v>192.35</c:v>
                </c:pt>
                <c:pt idx="538">
                  <c:v>191.04</c:v>
                </c:pt>
                <c:pt idx="539">
                  <c:v>189.87</c:v>
                </c:pt>
                <c:pt idx="540">
                  <c:v>189.84</c:v>
                </c:pt>
                <c:pt idx="541">
                  <c:v>189.72</c:v>
                </c:pt>
                <c:pt idx="542">
                  <c:v>187.43</c:v>
                </c:pt>
                <c:pt idx="543">
                  <c:v>186.28</c:v>
                </c:pt>
                <c:pt idx="544">
                  <c:v>183.05</c:v>
                </c:pt>
                <c:pt idx="545">
                  <c:v>184.57</c:v>
                </c:pt>
                <c:pt idx="546">
                  <c:v>182.74</c:v>
                </c:pt>
                <c:pt idx="547">
                  <c:v>182.4</c:v>
                </c:pt>
                <c:pt idx="548">
                  <c:v>181.71</c:v>
                </c:pt>
                <c:pt idx="549">
                  <c:v>183.38</c:v>
                </c:pt>
                <c:pt idx="550">
                  <c:v>173.03</c:v>
                </c:pt>
                <c:pt idx="551">
                  <c:v>169.3</c:v>
                </c:pt>
                <c:pt idx="552">
                  <c:v>170.33</c:v>
                </c:pt>
                <c:pt idx="553">
                  <c:v>173.5</c:v>
                </c:pt>
                <c:pt idx="554">
                  <c:v>169.3</c:v>
                </c:pt>
                <c:pt idx="555">
                  <c:v>169.89</c:v>
                </c:pt>
                <c:pt idx="556">
                  <c:v>169.02</c:v>
                </c:pt>
                <c:pt idx="557">
                  <c:v>166.9</c:v>
                </c:pt>
                <c:pt idx="558">
                  <c:v>165.84</c:v>
                </c:pt>
                <c:pt idx="559">
                  <c:v>165</c:v>
                </c:pt>
                <c:pt idx="560">
                  <c:v>167.04</c:v>
                </c:pt>
                <c:pt idx="561">
                  <c:v>168</c:v>
                </c:pt>
                <c:pt idx="562">
                  <c:v>169.38</c:v>
                </c:pt>
                <c:pt idx="563">
                  <c:v>172.69</c:v>
                </c:pt>
                <c:pt idx="564">
                  <c:v>176.55</c:v>
                </c:pt>
                <c:pt idx="565">
                  <c:v>175.04</c:v>
                </c:pt>
                <c:pt idx="566">
                  <c:v>167.78</c:v>
                </c:pt>
                <c:pt idx="567">
                  <c:v>169.67</c:v>
                </c:pt>
                <c:pt idx="568">
                  <c:v>168.45</c:v>
                </c:pt>
                <c:pt idx="569">
                  <c:v>169.58</c:v>
                </c:pt>
                <c:pt idx="570">
                  <c:v>168.82</c:v>
                </c:pt>
                <c:pt idx="571">
                  <c:v>169.65</c:v>
                </c:pt>
                <c:pt idx="572">
                  <c:v>168.84</c:v>
                </c:pt>
                <c:pt idx="573">
                  <c:v>170.03</c:v>
                </c:pt>
                <c:pt idx="574">
                  <c:v>171.48</c:v>
                </c:pt>
                <c:pt idx="575">
                  <c:v>173.31</c:v>
                </c:pt>
                <c:pt idx="576">
                  <c:v>169.71</c:v>
                </c:pt>
                <c:pt idx="577">
                  <c:v>170.85</c:v>
                </c:pt>
                <c:pt idx="578">
                  <c:v>172.28</c:v>
                </c:pt>
                <c:pt idx="579">
                  <c:v>171.37</c:v>
                </c:pt>
                <c:pt idx="580">
                  <c:v>178.67</c:v>
                </c:pt>
                <c:pt idx="581">
                  <c:v>176.08</c:v>
                </c:pt>
                <c:pt idx="582">
                  <c:v>173.72</c:v>
                </c:pt>
                <c:pt idx="583">
                  <c:v>172.62</c:v>
                </c:pt>
                <c:pt idx="584">
                  <c:v>173</c:v>
                </c:pt>
                <c:pt idx="585">
                  <c:v>171.13</c:v>
                </c:pt>
                <c:pt idx="586">
                  <c:v>173.23</c:v>
                </c:pt>
                <c:pt idx="587">
                  <c:v>172.75</c:v>
                </c:pt>
                <c:pt idx="588">
                  <c:v>170.73</c:v>
                </c:pt>
                <c:pt idx="589">
                  <c:v>169</c:v>
                </c:pt>
                <c:pt idx="590">
                  <c:v>169.12</c:v>
                </c:pt>
                <c:pt idx="591">
                  <c:v>170.12</c:v>
                </c:pt>
                <c:pt idx="592">
                  <c:v>175.1</c:v>
                </c:pt>
                <c:pt idx="593">
                  <c:v>179.66</c:v>
                </c:pt>
                <c:pt idx="594">
                  <c:v>180.75</c:v>
                </c:pt>
                <c:pt idx="595">
                  <c:v>181.42</c:v>
                </c:pt>
                <c:pt idx="596">
                  <c:v>182.63</c:v>
                </c:pt>
                <c:pt idx="597">
                  <c:v>181.16</c:v>
                </c:pt>
                <c:pt idx="598">
                  <c:v>182.52</c:v>
                </c:pt>
                <c:pt idx="599">
                  <c:v>184.37</c:v>
                </c:pt>
                <c:pt idx="600">
                  <c:v>182.32</c:v>
                </c:pt>
                <c:pt idx="601">
                  <c:v>181.56</c:v>
                </c:pt>
                <c:pt idx="602">
                  <c:v>182.31</c:v>
                </c:pt>
                <c:pt idx="603">
                  <c:v>183.86</c:v>
                </c:pt>
                <c:pt idx="604">
                  <c:v>184.15</c:v>
                </c:pt>
                <c:pt idx="605">
                  <c:v>185.04</c:v>
                </c:pt>
                <c:pt idx="606">
                  <c:v>187.15</c:v>
                </c:pt>
                <c:pt idx="607">
                  <c:v>188.85</c:v>
                </c:pt>
                <c:pt idx="608">
                  <c:v>188.32</c:v>
                </c:pt>
                <c:pt idx="609">
                  <c:v>189.41</c:v>
                </c:pt>
                <c:pt idx="610">
                  <c:v>189.3</c:v>
                </c:pt>
                <c:pt idx="611">
                  <c:v>187.68</c:v>
                </c:pt>
                <c:pt idx="612">
                  <c:v>185.85</c:v>
                </c:pt>
                <c:pt idx="613">
                  <c:v>186.86</c:v>
                </c:pt>
                <c:pt idx="614">
                  <c:v>184.4</c:v>
                </c:pt>
                <c:pt idx="615">
                  <c:v>188.04</c:v>
                </c:pt>
                <c:pt idx="616">
                  <c:v>191.73</c:v>
                </c:pt>
                <c:pt idx="617">
                  <c:v>192.42</c:v>
                </c:pt>
                <c:pt idx="618">
                  <c:v>194.17</c:v>
                </c:pt>
                <c:pt idx="619">
                  <c:v>194.5</c:v>
                </c:pt>
                <c:pt idx="620">
                  <c:v>195.18</c:v>
                </c:pt>
                <c:pt idx="621">
                  <c:v>193.89</c:v>
                </c:pt>
                <c:pt idx="622">
                  <c:v>191.56</c:v>
                </c:pt>
                <c:pt idx="623">
                  <c:v>188.63</c:v>
                </c:pt>
                <c:pt idx="624">
                  <c:v>182.68</c:v>
                </c:pt>
                <c:pt idx="625">
                  <c:v>183.63</c:v>
                </c:pt>
                <c:pt idx="626">
                  <c:v>185.92</c:v>
                </c:pt>
                <c:pt idx="627">
                  <c:v>185.59</c:v>
                </c:pt>
                <c:pt idx="628">
                  <c:v>186.19</c:v>
                </c:pt>
                <c:pt idx="629">
                  <c:v>185.14</c:v>
                </c:pt>
                <c:pt idx="630">
                  <c:v>185.56</c:v>
                </c:pt>
                <c:pt idx="631">
                  <c:v>181.18</c:v>
                </c:pt>
                <c:pt idx="632">
                  <c:v>181.91</c:v>
                </c:pt>
                <c:pt idx="633">
                  <c:v>184.25</c:v>
                </c:pt>
                <c:pt idx="634">
                  <c:v>185.64</c:v>
                </c:pt>
                <c:pt idx="635">
                  <c:v>192.53</c:v>
                </c:pt>
                <c:pt idx="636">
                  <c:v>193.58</c:v>
                </c:pt>
                <c:pt idx="637">
                  <c:v>193.15</c:v>
                </c:pt>
                <c:pt idx="638">
                  <c:v>193.05</c:v>
                </c:pt>
                <c:pt idx="639">
                  <c:v>193.6</c:v>
                </c:pt>
                <c:pt idx="640">
                  <c:v>194.68</c:v>
                </c:pt>
                <c:pt idx="641">
                  <c:v>194.83</c:v>
                </c:pt>
                <c:pt idx="642">
                  <c:v>196.94</c:v>
                </c:pt>
                <c:pt idx="643">
                  <c:v>195.89</c:v>
                </c:pt>
                <c:pt idx="644">
                  <c:v>197.57</c:v>
                </c:pt>
                <c:pt idx="645">
                  <c:v>198.11</c:v>
                </c:pt>
                <c:pt idx="646">
                  <c:v>197.96</c:v>
                </c:pt>
                <c:pt idx="647">
                  <c:v>194.71</c:v>
                </c:pt>
                <c:pt idx="648">
                  <c:v>193.18</c:v>
                </c:pt>
                <c:pt idx="649">
                  <c:v>195.71</c:v>
                </c:pt>
                <c:pt idx="650">
                  <c:v>194.27</c:v>
                </c:pt>
                <c:pt idx="651">
                  <c:v>192.32</c:v>
                </c:pt>
                <c:pt idx="652">
                  <c:v>193.42</c:v>
                </c:pt>
                <c:pt idx="653">
                  <c:v>189.43</c:v>
                </c:pt>
                <c:pt idx="654">
                  <c:v>191.24</c:v>
                </c:pt>
                <c:pt idx="655">
                  <c:v>189.95</c:v>
                </c:pt>
                <c:pt idx="656">
                  <c:v>189.37</c:v>
                </c:pt>
                <c:pt idx="657">
                  <c:v>190.4</c:v>
                </c:pt>
                <c:pt idx="658">
                  <c:v>189.79</c:v>
                </c:pt>
                <c:pt idx="659">
                  <c:v>189.97</c:v>
                </c:pt>
                <c:pt idx="660">
                  <c:v>191.31</c:v>
                </c:pt>
                <c:pt idx="661">
                  <c:v>190.64</c:v>
                </c:pt>
                <c:pt idx="662">
                  <c:v>191.45</c:v>
                </c:pt>
                <c:pt idx="663">
                  <c:v>189.69</c:v>
                </c:pt>
                <c:pt idx="664">
                  <c:v>189.71</c:v>
                </c:pt>
                <c:pt idx="665">
                  <c:v>188.01</c:v>
                </c:pt>
                <c:pt idx="666">
                  <c:v>187.44</c:v>
                </c:pt>
                <c:pt idx="667">
                  <c:v>184.8</c:v>
                </c:pt>
                <c:pt idx="668">
                  <c:v>186.4</c:v>
                </c:pt>
                <c:pt idx="669">
                  <c:v>182.41</c:v>
                </c:pt>
                <c:pt idx="670">
                  <c:v>182.89</c:v>
                </c:pt>
                <c:pt idx="671">
                  <c:v>181.82</c:v>
                </c:pt>
                <c:pt idx="672">
                  <c:v>179.23</c:v>
                </c:pt>
                <c:pt idx="673">
                  <c:v>176.65</c:v>
                </c:pt>
                <c:pt idx="674">
                  <c:v>177.57</c:v>
                </c:pt>
                <c:pt idx="675">
                  <c:v>173.97</c:v>
                </c:pt>
                <c:pt idx="676">
                  <c:v>170.77</c:v>
                </c:pt>
                <c:pt idx="677">
                  <c:v>170.29</c:v>
                </c:pt>
                <c:pt idx="678">
                  <c:v>168.22</c:v>
                </c:pt>
                <c:pt idx="679">
                  <c:v>166.89</c:v>
                </c:pt>
                <c:pt idx="680">
                  <c:v>171.1</c:v>
                </c:pt>
                <c:pt idx="681">
                  <c:v>173.44</c:v>
                </c:pt>
                <c:pt idx="682">
                  <c:v>173</c:v>
                </c:pt>
                <c:pt idx="683">
                  <c:v>172.88</c:v>
                </c:pt>
                <c:pt idx="684">
                  <c:v>175.46</c:v>
                </c:pt>
                <c:pt idx="685">
                  <c:v>175.84</c:v>
                </c:pt>
                <c:pt idx="686">
                  <c:v>177.15</c:v>
                </c:pt>
                <c:pt idx="687">
                  <c:v>178.72</c:v>
                </c:pt>
                <c:pt idx="688">
                  <c:v>178.85</c:v>
                </c:pt>
                <c:pt idx="689">
                  <c:v>180.71</c:v>
                </c:pt>
                <c:pt idx="690">
                  <c:v>179.8</c:v>
                </c:pt>
                <c:pt idx="691">
                  <c:v>178.39</c:v>
                </c:pt>
                <c:pt idx="692">
                  <c:v>178.99</c:v>
                </c:pt>
                <c:pt idx="693">
                  <c:v>177.49</c:v>
                </c:pt>
                <c:pt idx="694">
                  <c:v>174.91</c:v>
                </c:pt>
                <c:pt idx="695">
                  <c:v>173.66</c:v>
                </c:pt>
                <c:pt idx="696">
                  <c:v>172.4</c:v>
                </c:pt>
                <c:pt idx="697">
                  <c:v>173.75</c:v>
                </c:pt>
                <c:pt idx="698">
                  <c:v>171.21</c:v>
                </c:pt>
                <c:pt idx="699">
                  <c:v>170.69</c:v>
                </c:pt>
                <c:pt idx="700">
                  <c:v>170.43</c:v>
                </c:pt>
                <c:pt idx="701">
                  <c:v>171.96</c:v>
                </c:pt>
                <c:pt idx="702">
                  <c:v>176.08</c:v>
                </c:pt>
                <c:pt idx="703">
                  <c:v>174.79</c:v>
                </c:pt>
                <c:pt idx="704">
                  <c:v>173.93</c:v>
                </c:pt>
                <c:pt idx="705">
                  <c:v>175.49</c:v>
                </c:pt>
                <c:pt idx="706">
                  <c:v>179.07</c:v>
                </c:pt>
                <c:pt idx="707">
                  <c:v>177.97</c:v>
                </c:pt>
                <c:pt idx="708">
                  <c:v>175.01</c:v>
                </c:pt>
                <c:pt idx="709">
                  <c:v>175.74</c:v>
                </c:pt>
                <c:pt idx="710">
                  <c:v>174.21</c:v>
                </c:pt>
                <c:pt idx="711">
                  <c:v>176.3</c:v>
                </c:pt>
                <c:pt idx="712">
                  <c:v>179.36</c:v>
                </c:pt>
                <c:pt idx="713">
                  <c:v>178.18</c:v>
                </c:pt>
                <c:pt idx="714">
                  <c:v>177.56</c:v>
                </c:pt>
                <c:pt idx="715">
                  <c:v>182.91</c:v>
                </c:pt>
                <c:pt idx="716">
                  <c:v>189.7</c:v>
                </c:pt>
                <c:pt idx="717">
                  <c:v>189.46</c:v>
                </c:pt>
                <c:pt idx="718">
                  <c:v>187.87</c:v>
                </c:pt>
                <c:pt idx="719">
                  <c:v>187.65</c:v>
                </c:pt>
                <c:pt idx="720">
                  <c:v>184.12</c:v>
                </c:pt>
                <c:pt idx="721">
                  <c:v>180.19</c:v>
                </c:pt>
                <c:pt idx="722">
                  <c:v>178.61</c:v>
                </c:pt>
                <c:pt idx="723">
                  <c:v>176.38</c:v>
                </c:pt>
                <c:pt idx="724">
                  <c:v>181.12</c:v>
                </c:pt>
                <c:pt idx="725">
                  <c:v>177.23</c:v>
                </c:pt>
                <c:pt idx="726">
                  <c:v>175.84</c:v>
                </c:pt>
                <c:pt idx="727">
                  <c:v>174.49</c:v>
                </c:pt>
                <c:pt idx="728">
                  <c:v>174</c:v>
                </c:pt>
                <c:pt idx="729">
                  <c:v>176.57</c:v>
                </c:pt>
                <c:pt idx="730">
                  <c:v>177.45</c:v>
                </c:pt>
                <c:pt idx="731">
                  <c:v>179.46</c:v>
                </c:pt>
                <c:pt idx="732">
                  <c:v>177.79</c:v>
                </c:pt>
                <c:pt idx="733">
                  <c:v>177.97</c:v>
                </c:pt>
                <c:pt idx="734">
                  <c:v>178.19</c:v>
                </c:pt>
                <c:pt idx="735">
                  <c:v>179.8</c:v>
                </c:pt>
                <c:pt idx="736">
                  <c:v>178.85</c:v>
                </c:pt>
                <c:pt idx="737">
                  <c:v>181.99</c:v>
                </c:pt>
                <c:pt idx="738">
                  <c:v>191.17</c:v>
                </c:pt>
                <c:pt idx="739">
                  <c:v>192.58</c:v>
                </c:pt>
                <c:pt idx="740">
                  <c:v>195.61</c:v>
                </c:pt>
                <c:pt idx="741">
                  <c:v>196.45</c:v>
                </c:pt>
                <c:pt idx="742">
                  <c:v>195.83</c:v>
                </c:pt>
                <c:pt idx="743">
                  <c:v>193.22</c:v>
                </c:pt>
                <c:pt idx="744">
                  <c:v>194.5</c:v>
                </c:pt>
                <c:pt idx="745">
                  <c:v>193.62</c:v>
                </c:pt>
                <c:pt idx="746">
                  <c:v>192.75</c:v>
                </c:pt>
                <c:pt idx="747">
                  <c:v>191.94</c:v>
                </c:pt>
                <c:pt idx="748">
                  <c:v>193.13</c:v>
                </c:pt>
                <c:pt idx="749">
                  <c:v>195.1</c:v>
                </c:pt>
                <c:pt idx="750">
                  <c:v>193.73</c:v>
                </c:pt>
                <c:pt idx="751">
                  <c:v>193.99</c:v>
                </c:pt>
                <c:pt idx="752">
                  <c:v>190.69</c:v>
                </c:pt>
                <c:pt idx="753">
                  <c:v>190.54</c:v>
                </c:pt>
                <c:pt idx="754">
                  <c:v>189.77</c:v>
                </c:pt>
                <c:pt idx="755">
                  <c:v>188.08</c:v>
                </c:pt>
                <c:pt idx="756">
                  <c:v>188.61</c:v>
                </c:pt>
                <c:pt idx="757">
                  <c:v>190.68</c:v>
                </c:pt>
                <c:pt idx="758">
                  <c:v>191.81</c:v>
                </c:pt>
                <c:pt idx="759">
                  <c:v>191.33</c:v>
                </c:pt>
                <c:pt idx="760">
                  <c:v>192.46</c:v>
                </c:pt>
                <c:pt idx="761">
                  <c:v>193.97</c:v>
                </c:pt>
                <c:pt idx="762">
                  <c:v>189.59</c:v>
                </c:pt>
                <c:pt idx="763">
                  <c:v>189.25</c:v>
                </c:pt>
                <c:pt idx="764">
                  <c:v>188.06</c:v>
                </c:pt>
                <c:pt idx="765">
                  <c:v>185.27</c:v>
                </c:pt>
                <c:pt idx="766">
                  <c:v>186.68</c:v>
                </c:pt>
                <c:pt idx="767">
                  <c:v>187</c:v>
                </c:pt>
                <c:pt idx="768">
                  <c:v>183.96</c:v>
                </c:pt>
                <c:pt idx="769">
                  <c:v>185.01</c:v>
                </c:pt>
                <c:pt idx="770">
                  <c:v>184.92</c:v>
                </c:pt>
                <c:pt idx="771">
                  <c:v>186.01</c:v>
                </c:pt>
                <c:pt idx="772">
                  <c:v>183.95</c:v>
                </c:pt>
                <c:pt idx="773">
                  <c:v>183.31</c:v>
                </c:pt>
                <c:pt idx="774">
                  <c:v>183.79</c:v>
                </c:pt>
                <c:pt idx="775">
                  <c:v>180.96</c:v>
                </c:pt>
                <c:pt idx="776">
                  <c:v>180.57</c:v>
                </c:pt>
                <c:pt idx="777">
                  <c:v>177.82</c:v>
                </c:pt>
                <c:pt idx="778">
                  <c:v>179.21</c:v>
                </c:pt>
                <c:pt idx="779">
                  <c:v>179.58</c:v>
                </c:pt>
                <c:pt idx="780">
                  <c:v>180.95</c:v>
                </c:pt>
                <c:pt idx="781">
                  <c:v>180.09</c:v>
                </c:pt>
                <c:pt idx="782">
                  <c:v>177.25</c:v>
                </c:pt>
                <c:pt idx="783">
                  <c:v>177.3</c:v>
                </c:pt>
                <c:pt idx="784">
                  <c:v>175.43</c:v>
                </c:pt>
                <c:pt idx="785">
                  <c:v>172.99</c:v>
                </c:pt>
                <c:pt idx="786">
                  <c:v>171.84</c:v>
                </c:pt>
                <c:pt idx="787">
                  <c:v>171.56</c:v>
                </c:pt>
                <c:pt idx="788">
                  <c:v>174.2</c:v>
                </c:pt>
                <c:pt idx="789">
                  <c:v>175.16</c:v>
                </c:pt>
                <c:pt idx="790">
                  <c:v>175.05</c:v>
                </c:pt>
                <c:pt idx="791">
                  <c:v>172.69</c:v>
                </c:pt>
                <c:pt idx="792">
                  <c:v>172.07</c:v>
                </c:pt>
                <c:pt idx="793">
                  <c:v>172.07</c:v>
                </c:pt>
                <c:pt idx="794">
                  <c:v>172.57</c:v>
                </c:pt>
                <c:pt idx="795">
                  <c:v>173.75</c:v>
                </c:pt>
                <c:pt idx="796">
                  <c:v>173.56</c:v>
                </c:pt>
                <c:pt idx="797">
                  <c:v>171.77</c:v>
                </c:pt>
                <c:pt idx="798">
                  <c:v>173.5</c:v>
                </c:pt>
                <c:pt idx="799">
                  <c:v>173.57</c:v>
                </c:pt>
                <c:pt idx="800">
                  <c:v>165.79</c:v>
                </c:pt>
                <c:pt idx="801">
                  <c:v>167.45</c:v>
                </c:pt>
                <c:pt idx="802">
                  <c:v>168.54</c:v>
                </c:pt>
                <c:pt idx="803">
                  <c:v>169.59</c:v>
                </c:pt>
                <c:pt idx="804">
                  <c:v>169.68</c:v>
                </c:pt>
                <c:pt idx="805">
                  <c:v>168.41</c:v>
                </c:pt>
                <c:pt idx="806">
                  <c:v>163.76</c:v>
                </c:pt>
                <c:pt idx="807">
                  <c:v>163.77000000000001</c:v>
                </c:pt>
                <c:pt idx="808">
                  <c:v>165.33</c:v>
                </c:pt>
                <c:pt idx="809">
                  <c:v>165.02</c:v>
                </c:pt>
                <c:pt idx="810">
                  <c:v>166.65</c:v>
                </c:pt>
                <c:pt idx="811">
                  <c:v>167.63</c:v>
                </c:pt>
                <c:pt idx="812">
                  <c:v>166.47</c:v>
                </c:pt>
                <c:pt idx="813">
                  <c:v>165.23</c:v>
                </c:pt>
                <c:pt idx="814">
                  <c:v>165.21</c:v>
                </c:pt>
                <c:pt idx="815">
                  <c:v>165.56</c:v>
                </c:pt>
                <c:pt idx="816">
                  <c:v>160.1</c:v>
                </c:pt>
                <c:pt idx="817">
                  <c:v>160.80000000000001</c:v>
                </c:pt>
                <c:pt idx="818">
                  <c:v>162.03</c:v>
                </c:pt>
                <c:pt idx="819">
                  <c:v>164.66</c:v>
                </c:pt>
                <c:pt idx="820">
                  <c:v>163.76</c:v>
                </c:pt>
                <c:pt idx="821">
                  <c:v>165.63</c:v>
                </c:pt>
                <c:pt idx="822">
                  <c:v>166.17</c:v>
                </c:pt>
                <c:pt idx="823">
                  <c:v>164.9</c:v>
                </c:pt>
                <c:pt idx="824">
                  <c:v>162.36000000000001</c:v>
                </c:pt>
                <c:pt idx="825">
                  <c:v>160.77000000000001</c:v>
                </c:pt>
                <c:pt idx="826">
                  <c:v>157.65</c:v>
                </c:pt>
                <c:pt idx="827">
                  <c:v>158.28</c:v>
                </c:pt>
                <c:pt idx="828">
                  <c:v>160.25</c:v>
                </c:pt>
                <c:pt idx="829">
                  <c:v>158.93</c:v>
                </c:pt>
                <c:pt idx="830">
                  <c:v>157.83000000000001</c:v>
                </c:pt>
                <c:pt idx="831">
                  <c:v>159.28</c:v>
                </c:pt>
                <c:pt idx="832">
                  <c:v>157.4</c:v>
                </c:pt>
                <c:pt idx="833">
                  <c:v>155</c:v>
                </c:pt>
                <c:pt idx="834">
                  <c:v>155.85</c:v>
                </c:pt>
                <c:pt idx="835">
                  <c:v>152.99</c:v>
                </c:pt>
                <c:pt idx="836">
                  <c:v>152.59</c:v>
                </c:pt>
                <c:pt idx="837">
                  <c:v>150.47</c:v>
                </c:pt>
                <c:pt idx="838">
                  <c:v>148.5</c:v>
                </c:pt>
                <c:pt idx="839">
                  <c:v>150.59</c:v>
                </c:pt>
                <c:pt idx="840">
                  <c:v>152.87</c:v>
                </c:pt>
                <c:pt idx="841">
                  <c:v>151.6</c:v>
                </c:pt>
                <c:pt idx="842">
                  <c:v>153.83000000000001</c:v>
                </c:pt>
                <c:pt idx="843">
                  <c:v>151.03</c:v>
                </c:pt>
                <c:pt idx="844">
                  <c:v>145.91</c:v>
                </c:pt>
                <c:pt idx="845">
                  <c:v>145.31</c:v>
                </c:pt>
                <c:pt idx="846">
                  <c:v>147.41</c:v>
                </c:pt>
                <c:pt idx="847">
                  <c:v>147.91999999999999</c:v>
                </c:pt>
                <c:pt idx="848">
                  <c:v>146.71</c:v>
                </c:pt>
                <c:pt idx="849">
                  <c:v>149.4</c:v>
                </c:pt>
                <c:pt idx="850">
                  <c:v>148.91</c:v>
                </c:pt>
                <c:pt idx="851">
                  <c:v>148.47999999999999</c:v>
                </c:pt>
                <c:pt idx="852">
                  <c:v>152.55000000000001</c:v>
                </c:pt>
                <c:pt idx="853">
                  <c:v>153.71</c:v>
                </c:pt>
                <c:pt idx="854">
                  <c:v>155.33000000000001</c:v>
                </c:pt>
                <c:pt idx="855">
                  <c:v>153.19999999999999</c:v>
                </c:pt>
                <c:pt idx="856">
                  <c:v>153.85</c:v>
                </c:pt>
                <c:pt idx="857">
                  <c:v>151.01</c:v>
                </c:pt>
                <c:pt idx="858">
                  <c:v>150.87</c:v>
                </c:pt>
                <c:pt idx="859">
                  <c:v>151.91999999999999</c:v>
                </c:pt>
                <c:pt idx="860">
                  <c:v>154.65</c:v>
                </c:pt>
                <c:pt idx="861">
                  <c:v>151.72999999999999</c:v>
                </c:pt>
                <c:pt idx="862">
                  <c:v>154.5</c:v>
                </c:pt>
                <c:pt idx="863">
                  <c:v>150.82</c:v>
                </c:pt>
                <c:pt idx="864">
                  <c:v>145.43</c:v>
                </c:pt>
                <c:pt idx="865">
                  <c:v>144.29</c:v>
                </c:pt>
                <c:pt idx="866">
                  <c:v>143</c:v>
                </c:pt>
                <c:pt idx="867">
                  <c:v>145.93</c:v>
                </c:pt>
                <c:pt idx="868">
                  <c:v>143.96</c:v>
                </c:pt>
                <c:pt idx="869">
                  <c:v>141.86000000000001</c:v>
                </c:pt>
                <c:pt idx="870">
                  <c:v>142.53</c:v>
                </c:pt>
                <c:pt idx="871">
                  <c:v>141.11000000000001</c:v>
                </c:pt>
                <c:pt idx="872">
                  <c:v>137.87</c:v>
                </c:pt>
                <c:pt idx="873">
                  <c:v>135.27000000000001</c:v>
                </c:pt>
                <c:pt idx="874">
                  <c:v>135.21</c:v>
                </c:pt>
                <c:pt idx="875">
                  <c:v>135.94</c:v>
                </c:pt>
                <c:pt idx="876">
                  <c:v>134.76</c:v>
                </c:pt>
                <c:pt idx="877">
                  <c:v>133.41</c:v>
                </c:pt>
                <c:pt idx="878">
                  <c:v>133.49</c:v>
                </c:pt>
                <c:pt idx="879">
                  <c:v>130.72999999999999</c:v>
                </c:pt>
                <c:pt idx="880">
                  <c:v>130.15</c:v>
                </c:pt>
                <c:pt idx="881">
                  <c:v>129.62</c:v>
                </c:pt>
                <c:pt idx="882">
                  <c:v>125.02</c:v>
                </c:pt>
                <c:pt idx="883">
                  <c:v>126.36</c:v>
                </c:pt>
                <c:pt idx="884">
                  <c:v>125.07</c:v>
                </c:pt>
                <c:pt idx="885">
                  <c:v>129.93</c:v>
                </c:pt>
                <c:pt idx="886">
                  <c:v>129.61000000000001</c:v>
                </c:pt>
                <c:pt idx="887">
                  <c:v>126.04</c:v>
                </c:pt>
                <c:pt idx="888">
                  <c:v>130.03</c:v>
                </c:pt>
                <c:pt idx="889">
                  <c:v>131.86000000000001</c:v>
                </c:pt>
                <c:pt idx="890">
                  <c:v>132.22999999999999</c:v>
                </c:pt>
                <c:pt idx="891">
                  <c:v>135.44999999999999</c:v>
                </c:pt>
                <c:pt idx="892">
                  <c:v>132.30000000000001</c:v>
                </c:pt>
                <c:pt idx="893">
                  <c:v>132.37</c:v>
                </c:pt>
                <c:pt idx="894">
                  <c:v>134.51</c:v>
                </c:pt>
                <c:pt idx="895">
                  <c:v>136.5</c:v>
                </c:pt>
                <c:pt idx="896">
                  <c:v>143.21</c:v>
                </c:pt>
                <c:pt idx="897">
                  <c:v>145.47</c:v>
                </c:pt>
                <c:pt idx="898">
                  <c:v>144.49</c:v>
                </c:pt>
                <c:pt idx="899">
                  <c:v>142.16</c:v>
                </c:pt>
                <c:pt idx="900">
                  <c:v>142.65</c:v>
                </c:pt>
                <c:pt idx="901">
                  <c:v>140.94</c:v>
                </c:pt>
                <c:pt idx="902">
                  <c:v>142.91</c:v>
                </c:pt>
                <c:pt idx="903">
                  <c:v>146.63</c:v>
                </c:pt>
                <c:pt idx="904">
                  <c:v>147.81</c:v>
                </c:pt>
                <c:pt idx="905">
                  <c:v>148.31</c:v>
                </c:pt>
                <c:pt idx="906">
                  <c:v>148.03</c:v>
                </c:pt>
                <c:pt idx="907">
                  <c:v>141.16999999999999</c:v>
                </c:pt>
                <c:pt idx="908">
                  <c:v>144.22</c:v>
                </c:pt>
                <c:pt idx="909">
                  <c:v>148.11000000000001</c:v>
                </c:pt>
                <c:pt idx="910">
                  <c:v>151.07</c:v>
                </c:pt>
                <c:pt idx="911">
                  <c:v>150.18</c:v>
                </c:pt>
                <c:pt idx="912">
                  <c:v>148.01</c:v>
                </c:pt>
                <c:pt idx="913">
                  <c:v>151.29</c:v>
                </c:pt>
                <c:pt idx="914">
                  <c:v>150.72</c:v>
                </c:pt>
                <c:pt idx="915">
                  <c:v>148.79</c:v>
                </c:pt>
                <c:pt idx="916">
                  <c:v>150.04</c:v>
                </c:pt>
                <c:pt idx="917">
                  <c:v>148.28</c:v>
                </c:pt>
                <c:pt idx="918">
                  <c:v>149.69999999999999</c:v>
                </c:pt>
                <c:pt idx="919">
                  <c:v>146.87</c:v>
                </c:pt>
                <c:pt idx="920">
                  <c:v>134.87</c:v>
                </c:pt>
                <c:pt idx="921">
                  <c:v>139.5</c:v>
                </c:pt>
                <c:pt idx="922">
                  <c:v>138.91999999999999</c:v>
                </c:pt>
                <c:pt idx="923">
                  <c:v>138.38</c:v>
                </c:pt>
                <c:pt idx="924">
                  <c:v>138.88</c:v>
                </c:pt>
                <c:pt idx="925">
                  <c:v>145.03</c:v>
                </c:pt>
                <c:pt idx="926">
                  <c:v>150.65</c:v>
                </c:pt>
                <c:pt idx="927">
                  <c:v>153.34</c:v>
                </c:pt>
                <c:pt idx="928">
                  <c:v>155.74</c:v>
                </c:pt>
                <c:pt idx="929">
                  <c:v>144.80000000000001</c:v>
                </c:pt>
                <c:pt idx="930">
                  <c:v>149.35</c:v>
                </c:pt>
                <c:pt idx="931">
                  <c:v>152.34</c:v>
                </c:pt>
                <c:pt idx="932">
                  <c:v>149.44999999999999</c:v>
                </c:pt>
                <c:pt idx="933">
                  <c:v>147.27000000000001</c:v>
                </c:pt>
                <c:pt idx="934">
                  <c:v>143.38999999999999</c:v>
                </c:pt>
                <c:pt idx="935">
                  <c:v>143.86000000000001</c:v>
                </c:pt>
                <c:pt idx="936">
                  <c:v>143.75</c:v>
                </c:pt>
                <c:pt idx="937">
                  <c:v>142.41</c:v>
                </c:pt>
                <c:pt idx="938">
                  <c:v>138.38</c:v>
                </c:pt>
                <c:pt idx="939">
                  <c:v>142.99</c:v>
                </c:pt>
                <c:pt idx="940">
                  <c:v>138.34</c:v>
                </c:pt>
                <c:pt idx="941">
                  <c:v>138.97999999999999</c:v>
                </c:pt>
                <c:pt idx="942">
                  <c:v>140.41999999999999</c:v>
                </c:pt>
                <c:pt idx="943">
                  <c:v>140.09</c:v>
                </c:pt>
                <c:pt idx="944">
                  <c:v>145.43</c:v>
                </c:pt>
                <c:pt idx="945">
                  <c:v>146.4</c:v>
                </c:pt>
                <c:pt idx="946">
                  <c:v>146.1</c:v>
                </c:pt>
                <c:pt idx="947">
                  <c:v>142.44999999999999</c:v>
                </c:pt>
                <c:pt idx="948">
                  <c:v>138.19999999999999</c:v>
                </c:pt>
                <c:pt idx="949">
                  <c:v>142.47999999999999</c:v>
                </c:pt>
                <c:pt idx="950">
                  <c:v>149.84</c:v>
                </c:pt>
                <c:pt idx="951">
                  <c:v>151.76</c:v>
                </c:pt>
                <c:pt idx="952">
                  <c:v>150.77000000000001</c:v>
                </c:pt>
                <c:pt idx="953">
                  <c:v>150.43</c:v>
                </c:pt>
                <c:pt idx="954">
                  <c:v>152.74</c:v>
                </c:pt>
                <c:pt idx="955">
                  <c:v>153.72</c:v>
                </c:pt>
                <c:pt idx="956">
                  <c:v>156.9</c:v>
                </c:pt>
                <c:pt idx="957">
                  <c:v>154.47999999999999</c:v>
                </c:pt>
                <c:pt idx="958">
                  <c:v>150.69999999999999</c:v>
                </c:pt>
                <c:pt idx="959">
                  <c:v>152.37</c:v>
                </c:pt>
                <c:pt idx="960">
                  <c:v>155.31</c:v>
                </c:pt>
                <c:pt idx="961">
                  <c:v>153.84</c:v>
                </c:pt>
                <c:pt idx="962">
                  <c:v>163.43</c:v>
                </c:pt>
                <c:pt idx="963">
                  <c:v>157.37</c:v>
                </c:pt>
                <c:pt idx="964">
                  <c:v>154.46</c:v>
                </c:pt>
                <c:pt idx="965">
                  <c:v>155.96</c:v>
                </c:pt>
                <c:pt idx="966">
                  <c:v>154.53</c:v>
                </c:pt>
                <c:pt idx="967">
                  <c:v>155.81</c:v>
                </c:pt>
                <c:pt idx="968">
                  <c:v>157.96</c:v>
                </c:pt>
                <c:pt idx="969">
                  <c:v>157.22</c:v>
                </c:pt>
                <c:pt idx="970">
                  <c:v>158.91</c:v>
                </c:pt>
                <c:pt idx="971">
                  <c:v>161.38</c:v>
                </c:pt>
                <c:pt idx="972">
                  <c:v>163.62</c:v>
                </c:pt>
                <c:pt idx="973">
                  <c:v>170.03</c:v>
                </c:pt>
                <c:pt idx="974">
                  <c:v>167.53</c:v>
                </c:pt>
                <c:pt idx="975">
                  <c:v>167.23</c:v>
                </c:pt>
                <c:pt idx="976">
                  <c:v>167.57</c:v>
                </c:pt>
                <c:pt idx="977">
                  <c:v>171.52</c:v>
                </c:pt>
                <c:pt idx="978">
                  <c:v>174.15</c:v>
                </c:pt>
                <c:pt idx="979">
                  <c:v>174.55</c:v>
                </c:pt>
                <c:pt idx="980">
                  <c:v>173.03</c:v>
                </c:pt>
                <c:pt idx="981">
                  <c:v>173.19</c:v>
                </c:pt>
                <c:pt idx="982">
                  <c:v>172.1</c:v>
                </c:pt>
                <c:pt idx="983">
                  <c:v>168.49</c:v>
                </c:pt>
                <c:pt idx="984">
                  <c:v>169.24</c:v>
                </c:pt>
                <c:pt idx="985">
                  <c:v>164.92</c:v>
                </c:pt>
                <c:pt idx="986">
                  <c:v>164.87</c:v>
                </c:pt>
                <c:pt idx="987">
                  <c:v>165.35</c:v>
                </c:pt>
                <c:pt idx="988">
                  <c:v>165.81</c:v>
                </c:pt>
                <c:pt idx="989">
                  <c:v>166.13</c:v>
                </c:pt>
                <c:pt idx="990">
                  <c:v>160.01</c:v>
                </c:pt>
                <c:pt idx="991">
                  <c:v>161.51</c:v>
                </c:pt>
                <c:pt idx="992">
                  <c:v>162.51</c:v>
                </c:pt>
                <c:pt idx="993">
                  <c:v>157.35</c:v>
                </c:pt>
                <c:pt idx="994">
                  <c:v>156.79</c:v>
                </c:pt>
                <c:pt idx="995">
                  <c:v>151.6</c:v>
                </c:pt>
                <c:pt idx="996">
                  <c:v>152.94999999999999</c:v>
                </c:pt>
                <c:pt idx="997">
                  <c:v>154.09</c:v>
                </c:pt>
                <c:pt idx="998">
                  <c:v>155.35</c:v>
                </c:pt>
                <c:pt idx="999">
                  <c:v>153.04</c:v>
                </c:pt>
                <c:pt idx="1000">
                  <c:v>151</c:v>
                </c:pt>
                <c:pt idx="1001">
                  <c:v>147.07</c:v>
                </c:pt>
                <c:pt idx="1002">
                  <c:v>150.16999999999999</c:v>
                </c:pt>
                <c:pt idx="1003">
                  <c:v>148.47</c:v>
                </c:pt>
                <c:pt idx="1004">
                  <c:v>145.49</c:v>
                </c:pt>
                <c:pt idx="1005">
                  <c:v>145.86000000000001</c:v>
                </c:pt>
                <c:pt idx="1006">
                  <c:v>144.87</c:v>
                </c:pt>
                <c:pt idx="1007">
                  <c:v>147.04</c:v>
                </c:pt>
                <c:pt idx="1008">
                  <c:v>146.35</c:v>
                </c:pt>
                <c:pt idx="1009">
                  <c:v>142.91999999999999</c:v>
                </c:pt>
                <c:pt idx="1010">
                  <c:v>141.56</c:v>
                </c:pt>
                <c:pt idx="1011">
                  <c:v>138.93</c:v>
                </c:pt>
                <c:pt idx="1012">
                  <c:v>136.72</c:v>
                </c:pt>
                <c:pt idx="1013">
                  <c:v>139.22999999999999</c:v>
                </c:pt>
                <c:pt idx="1014">
                  <c:v>137.44</c:v>
                </c:pt>
                <c:pt idx="1015">
                  <c:v>141.66</c:v>
                </c:pt>
                <c:pt idx="1016">
                  <c:v>141.66</c:v>
                </c:pt>
                <c:pt idx="1017">
                  <c:v>138.27000000000001</c:v>
                </c:pt>
                <c:pt idx="1018">
                  <c:v>135.35</c:v>
                </c:pt>
                <c:pt idx="1019">
                  <c:v>135.87</c:v>
                </c:pt>
                <c:pt idx="1020">
                  <c:v>131.56</c:v>
                </c:pt>
                <c:pt idx="1021">
                  <c:v>130.06</c:v>
                </c:pt>
                <c:pt idx="1022">
                  <c:v>135.43</c:v>
                </c:pt>
                <c:pt idx="1023">
                  <c:v>132.76</c:v>
                </c:pt>
                <c:pt idx="1024">
                  <c:v>131.88</c:v>
                </c:pt>
                <c:pt idx="1025">
                  <c:v>137.13</c:v>
                </c:pt>
                <c:pt idx="1026">
                  <c:v>142.63999999999999</c:v>
                </c:pt>
                <c:pt idx="1027">
                  <c:v>147.96</c:v>
                </c:pt>
                <c:pt idx="1028">
                  <c:v>148.71</c:v>
                </c:pt>
                <c:pt idx="1029">
                  <c:v>146.13999999999999</c:v>
                </c:pt>
                <c:pt idx="1030">
                  <c:v>145.38</c:v>
                </c:pt>
                <c:pt idx="1031">
                  <c:v>151.21</c:v>
                </c:pt>
                <c:pt idx="1032">
                  <c:v>148.71</c:v>
                </c:pt>
                <c:pt idx="1033">
                  <c:v>148.84</c:v>
                </c:pt>
                <c:pt idx="1034">
                  <c:v>149.63999999999999</c:v>
                </c:pt>
                <c:pt idx="1035">
                  <c:v>143.78</c:v>
                </c:pt>
                <c:pt idx="1036">
                  <c:v>140.52000000000001</c:v>
                </c:pt>
                <c:pt idx="1037">
                  <c:v>140.36000000000001</c:v>
                </c:pt>
                <c:pt idx="1038">
                  <c:v>143.11000000000001</c:v>
                </c:pt>
                <c:pt idx="1039">
                  <c:v>137.59</c:v>
                </c:pt>
                <c:pt idx="1040">
                  <c:v>137.35</c:v>
                </c:pt>
                <c:pt idx="1041">
                  <c:v>140.82</c:v>
                </c:pt>
                <c:pt idx="1042">
                  <c:v>149.24</c:v>
                </c:pt>
                <c:pt idx="1043">
                  <c:v>145.54</c:v>
                </c:pt>
                <c:pt idx="1044">
                  <c:v>147.11000000000001</c:v>
                </c:pt>
                <c:pt idx="1045">
                  <c:v>142.56</c:v>
                </c:pt>
                <c:pt idx="1046">
                  <c:v>146.5</c:v>
                </c:pt>
                <c:pt idx="1047">
                  <c:v>154.51</c:v>
                </c:pt>
                <c:pt idx="1048">
                  <c:v>152.06</c:v>
                </c:pt>
                <c:pt idx="1049">
                  <c:v>157.28</c:v>
                </c:pt>
                <c:pt idx="1050">
                  <c:v>156.77000000000001</c:v>
                </c:pt>
                <c:pt idx="1051">
                  <c:v>166.02</c:v>
                </c:pt>
                <c:pt idx="1052">
                  <c:v>159.47999999999999</c:v>
                </c:pt>
                <c:pt idx="1053">
                  <c:v>157.96</c:v>
                </c:pt>
                <c:pt idx="1054">
                  <c:v>157.65</c:v>
                </c:pt>
                <c:pt idx="1055">
                  <c:v>163.63999999999999</c:v>
                </c:pt>
                <c:pt idx="1056">
                  <c:v>156.57</c:v>
                </c:pt>
                <c:pt idx="1057">
                  <c:v>156.80000000000001</c:v>
                </c:pt>
                <c:pt idx="1058">
                  <c:v>162.88</c:v>
                </c:pt>
                <c:pt idx="1059">
                  <c:v>161.79</c:v>
                </c:pt>
                <c:pt idx="1060">
                  <c:v>166.42</c:v>
                </c:pt>
                <c:pt idx="1061">
                  <c:v>167.23</c:v>
                </c:pt>
                <c:pt idx="1062">
                  <c:v>167.4</c:v>
                </c:pt>
                <c:pt idx="1063">
                  <c:v>165.07</c:v>
                </c:pt>
                <c:pt idx="1064">
                  <c:v>165.29</c:v>
                </c:pt>
                <c:pt idx="1065">
                  <c:v>170.4</c:v>
                </c:pt>
                <c:pt idx="1066">
                  <c:v>167.66</c:v>
                </c:pt>
                <c:pt idx="1067">
                  <c:v>165.75</c:v>
                </c:pt>
                <c:pt idx="1068">
                  <c:v>170.09</c:v>
                </c:pt>
                <c:pt idx="1069">
                  <c:v>172.14</c:v>
                </c:pt>
                <c:pt idx="1070">
                  <c:v>171.83</c:v>
                </c:pt>
                <c:pt idx="1071">
                  <c:v>175.06</c:v>
                </c:pt>
                <c:pt idx="1072">
                  <c:v>178.44</c:v>
                </c:pt>
                <c:pt idx="1073">
                  <c:v>174.31</c:v>
                </c:pt>
                <c:pt idx="1074">
                  <c:v>174.61</c:v>
                </c:pt>
                <c:pt idx="1075">
                  <c:v>177.77</c:v>
                </c:pt>
                <c:pt idx="1076">
                  <c:v>178.96</c:v>
                </c:pt>
                <c:pt idx="1077">
                  <c:v>175.6</c:v>
                </c:pt>
                <c:pt idx="1078">
                  <c:v>174.72</c:v>
                </c:pt>
                <c:pt idx="1079">
                  <c:v>174.07</c:v>
                </c:pt>
                <c:pt idx="1080">
                  <c:v>170.21</c:v>
                </c:pt>
                <c:pt idx="1081">
                  <c:v>168.82</c:v>
                </c:pt>
                <c:pt idx="1082">
                  <c:v>165.38</c:v>
                </c:pt>
                <c:pt idx="1083">
                  <c:v>163.98</c:v>
                </c:pt>
                <c:pt idx="1084">
                  <c:v>160.62</c:v>
                </c:pt>
                <c:pt idx="1085">
                  <c:v>159.59</c:v>
                </c:pt>
                <c:pt idx="1086">
                  <c:v>155.09</c:v>
                </c:pt>
                <c:pt idx="1087">
                  <c:v>150.62</c:v>
                </c:pt>
                <c:pt idx="1088">
                  <c:v>154.72999999999999</c:v>
                </c:pt>
                <c:pt idx="1089">
                  <c:v>158.52000000000001</c:v>
                </c:pt>
                <c:pt idx="1090">
                  <c:v>162.94999999999999</c:v>
                </c:pt>
                <c:pt idx="1091">
                  <c:v>157.44</c:v>
                </c:pt>
                <c:pt idx="1092">
                  <c:v>159.30000000000001</c:v>
                </c:pt>
                <c:pt idx="1093">
                  <c:v>163.16999999999999</c:v>
                </c:pt>
                <c:pt idx="1094">
                  <c:v>166.23</c:v>
                </c:pt>
                <c:pt idx="1095">
                  <c:v>166.56</c:v>
                </c:pt>
                <c:pt idx="1096">
                  <c:v>163.19999999999999</c:v>
                </c:pt>
                <c:pt idx="1097">
                  <c:v>165.12</c:v>
                </c:pt>
                <c:pt idx="1098">
                  <c:v>164.85</c:v>
                </c:pt>
                <c:pt idx="1099">
                  <c:v>162.74</c:v>
                </c:pt>
                <c:pt idx="1100">
                  <c:v>160.07</c:v>
                </c:pt>
                <c:pt idx="1101">
                  <c:v>164.32</c:v>
                </c:pt>
                <c:pt idx="1102">
                  <c:v>167.3</c:v>
                </c:pt>
                <c:pt idx="1103">
                  <c:v>168.88</c:v>
                </c:pt>
                <c:pt idx="1104">
                  <c:v>172.55</c:v>
                </c:pt>
                <c:pt idx="1105">
                  <c:v>172.79</c:v>
                </c:pt>
                <c:pt idx="1106">
                  <c:v>168.88</c:v>
                </c:pt>
                <c:pt idx="1107">
                  <c:v>168.64</c:v>
                </c:pt>
                <c:pt idx="1108">
                  <c:v>172.12</c:v>
                </c:pt>
                <c:pt idx="1109">
                  <c:v>176.28</c:v>
                </c:pt>
                <c:pt idx="1110">
                  <c:v>174.83</c:v>
                </c:pt>
                <c:pt idx="1111">
                  <c:v>171.66</c:v>
                </c:pt>
                <c:pt idx="1112">
                  <c:v>172.39</c:v>
                </c:pt>
                <c:pt idx="1113">
                  <c:v>172.9</c:v>
                </c:pt>
                <c:pt idx="1114">
                  <c:v>175.84</c:v>
                </c:pt>
                <c:pt idx="1115">
                  <c:v>174.61</c:v>
                </c:pt>
                <c:pt idx="1116">
                  <c:v>174.78</c:v>
                </c:pt>
                <c:pt idx="1117">
                  <c:v>170.33</c:v>
                </c:pt>
                <c:pt idx="1118">
                  <c:v>159.22</c:v>
                </c:pt>
                <c:pt idx="1119">
                  <c:v>159.69</c:v>
                </c:pt>
                <c:pt idx="1120">
                  <c:v>159.78</c:v>
                </c:pt>
                <c:pt idx="1121">
                  <c:v>161.62</c:v>
                </c:pt>
                <c:pt idx="1122">
                  <c:v>162.41</c:v>
                </c:pt>
                <c:pt idx="1123">
                  <c:v>164.51</c:v>
                </c:pt>
                <c:pt idx="1124">
                  <c:v>166.23</c:v>
                </c:pt>
                <c:pt idx="1125">
                  <c:v>169.8</c:v>
                </c:pt>
                <c:pt idx="1126">
                  <c:v>173.07</c:v>
                </c:pt>
                <c:pt idx="1127">
                  <c:v>172.19</c:v>
                </c:pt>
                <c:pt idx="1128">
                  <c:v>175.53</c:v>
                </c:pt>
                <c:pt idx="1129">
                  <c:v>175.08</c:v>
                </c:pt>
                <c:pt idx="1130">
                  <c:v>172.19</c:v>
                </c:pt>
                <c:pt idx="1131">
                  <c:v>172.17</c:v>
                </c:pt>
                <c:pt idx="1132">
                  <c:v>172</c:v>
                </c:pt>
                <c:pt idx="1133">
                  <c:v>174.92</c:v>
                </c:pt>
                <c:pt idx="1134">
                  <c:v>179.7</c:v>
                </c:pt>
                <c:pt idx="1135">
                  <c:v>182.01</c:v>
                </c:pt>
                <c:pt idx="1136">
                  <c:v>177.57</c:v>
                </c:pt>
                <c:pt idx="1137">
                  <c:v>178.2</c:v>
                </c:pt>
                <c:pt idx="1138">
                  <c:v>179.38</c:v>
                </c:pt>
                <c:pt idx="1139">
                  <c:v>179.29</c:v>
                </c:pt>
                <c:pt idx="1140">
                  <c:v>180.33</c:v>
                </c:pt>
                <c:pt idx="1141">
                  <c:v>176.28</c:v>
                </c:pt>
                <c:pt idx="1142">
                  <c:v>175.64</c:v>
                </c:pt>
                <c:pt idx="1143">
                  <c:v>172.99</c:v>
                </c:pt>
                <c:pt idx="1144">
                  <c:v>169.75</c:v>
                </c:pt>
                <c:pt idx="1145">
                  <c:v>171.14</c:v>
                </c:pt>
                <c:pt idx="1146">
                  <c:v>172.26</c:v>
                </c:pt>
                <c:pt idx="1147">
                  <c:v>179.3</c:v>
                </c:pt>
                <c:pt idx="1148">
                  <c:v>174.33</c:v>
                </c:pt>
                <c:pt idx="1149">
                  <c:v>175.74</c:v>
                </c:pt>
                <c:pt idx="1150">
                  <c:v>179.45</c:v>
                </c:pt>
                <c:pt idx="1151">
                  <c:v>174.56</c:v>
                </c:pt>
                <c:pt idx="1152">
                  <c:v>175.08</c:v>
                </c:pt>
                <c:pt idx="1153">
                  <c:v>171.18</c:v>
                </c:pt>
                <c:pt idx="1154">
                  <c:v>165.32</c:v>
                </c:pt>
                <c:pt idx="1155">
                  <c:v>161.84</c:v>
                </c:pt>
                <c:pt idx="1156">
                  <c:v>163.76</c:v>
                </c:pt>
                <c:pt idx="1157">
                  <c:v>164.77</c:v>
                </c:pt>
                <c:pt idx="1158">
                  <c:v>165.3</c:v>
                </c:pt>
                <c:pt idx="1159">
                  <c:v>160.24</c:v>
                </c:pt>
                <c:pt idx="1160">
                  <c:v>156.81</c:v>
                </c:pt>
                <c:pt idx="1161">
                  <c:v>161.94</c:v>
                </c:pt>
                <c:pt idx="1162">
                  <c:v>161.41</c:v>
                </c:pt>
                <c:pt idx="1163">
                  <c:v>161.02000000000001</c:v>
                </c:pt>
                <c:pt idx="1164">
                  <c:v>160.55000000000001</c:v>
                </c:pt>
                <c:pt idx="1165">
                  <c:v>157.87</c:v>
                </c:pt>
                <c:pt idx="1166">
                  <c:v>153.49</c:v>
                </c:pt>
                <c:pt idx="1167">
                  <c:v>151</c:v>
                </c:pt>
                <c:pt idx="1168">
                  <c:v>150</c:v>
                </c:pt>
                <c:pt idx="1169">
                  <c:v>149.99</c:v>
                </c:pt>
                <c:pt idx="1170">
                  <c:v>147.87</c:v>
                </c:pt>
                <c:pt idx="1171">
                  <c:v>147.91999999999999</c:v>
                </c:pt>
                <c:pt idx="1172">
                  <c:v>150.81</c:v>
                </c:pt>
                <c:pt idx="1173">
                  <c:v>150.44</c:v>
                </c:pt>
                <c:pt idx="1174">
                  <c:v>151.28</c:v>
                </c:pt>
                <c:pt idx="1175">
                  <c:v>150.96</c:v>
                </c:pt>
                <c:pt idx="1176">
                  <c:v>151.49</c:v>
                </c:pt>
                <c:pt idx="1177">
                  <c:v>150.02000000000001</c:v>
                </c:pt>
                <c:pt idx="1178">
                  <c:v>148.96</c:v>
                </c:pt>
                <c:pt idx="1179">
                  <c:v>149.80000000000001</c:v>
                </c:pt>
                <c:pt idx="1180">
                  <c:v>152.57</c:v>
                </c:pt>
                <c:pt idx="1181">
                  <c:v>148.85</c:v>
                </c:pt>
                <c:pt idx="1182">
                  <c:v>149.32</c:v>
                </c:pt>
                <c:pt idx="1183">
                  <c:v>148.63999999999999</c:v>
                </c:pt>
                <c:pt idx="1184">
                  <c:v>148.69</c:v>
                </c:pt>
                <c:pt idx="1185">
                  <c:v>149.47999999999999</c:v>
                </c:pt>
                <c:pt idx="1186">
                  <c:v>149.26</c:v>
                </c:pt>
                <c:pt idx="1187">
                  <c:v>148.76</c:v>
                </c:pt>
                <c:pt idx="1188">
                  <c:v>146.55000000000001</c:v>
                </c:pt>
                <c:pt idx="1189">
                  <c:v>144.84</c:v>
                </c:pt>
                <c:pt idx="1190">
                  <c:v>143.76</c:v>
                </c:pt>
                <c:pt idx="1191">
                  <c:v>140.91</c:v>
                </c:pt>
                <c:pt idx="1192">
                  <c:v>141.51</c:v>
                </c:pt>
                <c:pt idx="1193">
                  <c:v>142.81</c:v>
                </c:pt>
                <c:pt idx="1194">
                  <c:v>142.9</c:v>
                </c:pt>
                <c:pt idx="1195">
                  <c:v>143.29</c:v>
                </c:pt>
                <c:pt idx="1196">
                  <c:v>142</c:v>
                </c:pt>
                <c:pt idx="1197">
                  <c:v>141.11000000000001</c:v>
                </c:pt>
                <c:pt idx="1198">
                  <c:v>139.13999999999999</c:v>
                </c:pt>
                <c:pt idx="1199">
                  <c:v>142.65</c:v>
                </c:pt>
                <c:pt idx="1200">
                  <c:v>141.5</c:v>
                </c:pt>
                <c:pt idx="1201">
                  <c:v>142.83000000000001</c:v>
                </c:pt>
                <c:pt idx="1202">
                  <c:v>141.91</c:v>
                </c:pt>
                <c:pt idx="1203">
                  <c:v>145.37</c:v>
                </c:pt>
                <c:pt idx="1204">
                  <c:v>146.91999999999999</c:v>
                </c:pt>
                <c:pt idx="1205">
                  <c:v>146.83000000000001</c:v>
                </c:pt>
                <c:pt idx="1206">
                  <c:v>145.85</c:v>
                </c:pt>
                <c:pt idx="1207">
                  <c:v>143.43</c:v>
                </c:pt>
                <c:pt idx="1208">
                  <c:v>142.94</c:v>
                </c:pt>
                <c:pt idx="1209">
                  <c:v>146.06</c:v>
                </c:pt>
                <c:pt idx="1210">
                  <c:v>148.79</c:v>
                </c:pt>
                <c:pt idx="1211">
                  <c:v>149.03</c:v>
                </c:pt>
                <c:pt idx="1212">
                  <c:v>148.12</c:v>
                </c:pt>
                <c:pt idx="1213">
                  <c:v>149.55000000000001</c:v>
                </c:pt>
                <c:pt idx="1214">
                  <c:v>148.97</c:v>
                </c:pt>
                <c:pt idx="1215">
                  <c:v>154.07</c:v>
                </c:pt>
                <c:pt idx="1216">
                  <c:v>155.11000000000001</c:v>
                </c:pt>
                <c:pt idx="1217">
                  <c:v>156.69</c:v>
                </c:pt>
                <c:pt idx="1218">
                  <c:v>154.30000000000001</c:v>
                </c:pt>
                <c:pt idx="1219">
                  <c:v>153.65</c:v>
                </c:pt>
                <c:pt idx="1220">
                  <c:v>152.51</c:v>
                </c:pt>
                <c:pt idx="1221">
                  <c:v>151.83000000000001</c:v>
                </c:pt>
                <c:pt idx="1222">
                  <c:v>153.12</c:v>
                </c:pt>
                <c:pt idx="1223">
                  <c:v>148.6</c:v>
                </c:pt>
                <c:pt idx="1224">
                  <c:v>147.54</c:v>
                </c:pt>
                <c:pt idx="1225">
                  <c:v>148.36000000000001</c:v>
                </c:pt>
                <c:pt idx="1226">
                  <c:v>149.62</c:v>
                </c:pt>
                <c:pt idx="1227">
                  <c:v>149.71</c:v>
                </c:pt>
                <c:pt idx="1228">
                  <c:v>148.19</c:v>
                </c:pt>
                <c:pt idx="1229">
                  <c:v>146.69999999999999</c:v>
                </c:pt>
                <c:pt idx="1230">
                  <c:v>146.36000000000001</c:v>
                </c:pt>
                <c:pt idx="1231">
                  <c:v>150.19</c:v>
                </c:pt>
                <c:pt idx="1232">
                  <c:v>151.12</c:v>
                </c:pt>
                <c:pt idx="1233">
                  <c:v>149.1</c:v>
                </c:pt>
                <c:pt idx="1234">
                  <c:v>148.88999999999999</c:v>
                </c:pt>
                <c:pt idx="1235">
                  <c:v>145.86000000000001</c:v>
                </c:pt>
                <c:pt idx="1236">
                  <c:v>145.6</c:v>
                </c:pt>
                <c:pt idx="1237">
                  <c:v>146.09</c:v>
                </c:pt>
                <c:pt idx="1238">
                  <c:v>146.13999999999999</c:v>
                </c:pt>
                <c:pt idx="1239">
                  <c:v>147.06</c:v>
                </c:pt>
                <c:pt idx="1240">
                  <c:v>146.94999999999999</c:v>
                </c:pt>
                <c:pt idx="1241">
                  <c:v>147.36000000000001</c:v>
                </c:pt>
                <c:pt idx="1242">
                  <c:v>145.52000000000001</c:v>
                </c:pt>
                <c:pt idx="1243">
                  <c:v>145.86000000000001</c:v>
                </c:pt>
                <c:pt idx="1244">
                  <c:v>145.63999999999999</c:v>
                </c:pt>
                <c:pt idx="1245">
                  <c:v>144.97999999999999</c:v>
                </c:pt>
                <c:pt idx="1246">
                  <c:v>146.77000000000001</c:v>
                </c:pt>
                <c:pt idx="1247">
                  <c:v>148.99</c:v>
                </c:pt>
                <c:pt idx="1248">
                  <c:v>148.56</c:v>
                </c:pt>
                <c:pt idx="1249">
                  <c:v>146.80000000000001</c:v>
                </c:pt>
                <c:pt idx="1250">
                  <c:v>145.4</c:v>
                </c:pt>
                <c:pt idx="1251">
                  <c:v>146.15</c:v>
                </c:pt>
                <c:pt idx="1252">
                  <c:v>142.44999999999999</c:v>
                </c:pt>
                <c:pt idx="1253">
                  <c:v>146.38999999999999</c:v>
                </c:pt>
                <c:pt idx="1254">
                  <c:v>148.47999999999999</c:v>
                </c:pt>
                <c:pt idx="1255">
                  <c:v>149.15</c:v>
                </c:pt>
                <c:pt idx="1256">
                  <c:v>145.63999999999999</c:v>
                </c:pt>
              </c:numCache>
            </c:numRef>
          </c:val>
          <c:extLst>
            <c:ext xmlns:c16="http://schemas.microsoft.com/office/drawing/2014/chart" uri="{C3380CC4-5D6E-409C-BE32-E72D297353CC}">
              <c16:uniqueId val="{00000000-D12E-495E-8FCE-CAB6460D7037}"/>
            </c:ext>
          </c:extLst>
        </c:ser>
        <c:dLbls>
          <c:showLegendKey val="0"/>
          <c:showVal val="0"/>
          <c:showCatName val="0"/>
          <c:showSerName val="0"/>
          <c:showPercent val="0"/>
          <c:showBubbleSize val="0"/>
        </c:dLbls>
        <c:gapWidth val="219"/>
        <c:overlap val="-27"/>
        <c:axId val="221066304"/>
        <c:axId val="221065056"/>
      </c:barChart>
      <c:dateAx>
        <c:axId val="221066304"/>
        <c:scaling>
          <c:orientation val="maxMin"/>
        </c:scaling>
        <c:delete val="1"/>
        <c:axPos val="b"/>
        <c:numFmt formatCode="yyyy" sourceLinked="0"/>
        <c:majorTickMark val="none"/>
        <c:minorTickMark val="none"/>
        <c:tickLblPos val="low"/>
        <c:crossAx val="221065056"/>
        <c:crosses val="autoZero"/>
        <c:auto val="0"/>
        <c:lblOffset val="10"/>
        <c:baseTimeUnit val="days"/>
        <c:majorUnit val="365"/>
        <c:minorUnit val="365"/>
      </c:dateAx>
      <c:valAx>
        <c:axId val="221065056"/>
        <c:scaling>
          <c:orientation val="minMax"/>
        </c:scaling>
        <c:delete val="0"/>
        <c:axPos val="r"/>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 Gross Profit &amp; Net Income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INFO!$B$14</c:f>
              <c:strCache>
                <c:ptCount val="1"/>
                <c:pt idx="0">
                  <c:v>Revenue</c:v>
                </c:pt>
              </c:strCache>
            </c:strRef>
          </c:tx>
          <c:spPr>
            <a:ln w="28575" cap="rnd">
              <a:solidFill>
                <a:schemeClr val="accent1">
                  <a:shade val="65000"/>
                </a:schemeClr>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INFO!$G$14:$Y$14</c:f>
              <c:numCache>
                <c:formatCode>#,##0</c:formatCode>
                <c:ptCount val="19"/>
                <c:pt idx="0">
                  <c:v>19315</c:v>
                </c:pt>
                <c:pt idx="1">
                  <c:v>24006</c:v>
                </c:pt>
                <c:pt idx="2">
                  <c:v>32479</c:v>
                </c:pt>
                <c:pt idx="3">
                  <c:v>42603</c:v>
                </c:pt>
                <c:pt idx="4">
                  <c:v>65225</c:v>
                </c:pt>
                <c:pt idx="5">
                  <c:v>108249</c:v>
                </c:pt>
                <c:pt idx="6">
                  <c:v>156508</c:v>
                </c:pt>
                <c:pt idx="7">
                  <c:v>170910</c:v>
                </c:pt>
                <c:pt idx="8">
                  <c:v>182795</c:v>
                </c:pt>
                <c:pt idx="9">
                  <c:v>233715</c:v>
                </c:pt>
                <c:pt idx="10">
                  <c:v>215639</c:v>
                </c:pt>
                <c:pt idx="11">
                  <c:v>229234</c:v>
                </c:pt>
                <c:pt idx="12">
                  <c:v>265595</c:v>
                </c:pt>
                <c:pt idx="13">
                  <c:v>260174</c:v>
                </c:pt>
                <c:pt idx="14">
                  <c:v>274515</c:v>
                </c:pt>
                <c:pt idx="15">
                  <c:v>365817</c:v>
                </c:pt>
                <c:pt idx="16">
                  <c:v>394328</c:v>
                </c:pt>
                <c:pt idx="17">
                  <c:v>383285</c:v>
                </c:pt>
                <c:pt idx="18">
                  <c:v>451442</c:v>
                </c:pt>
              </c:numCache>
            </c:numRef>
          </c:val>
          <c:smooth val="0"/>
          <c:extLst>
            <c:ext xmlns:c16="http://schemas.microsoft.com/office/drawing/2014/chart" uri="{C3380CC4-5D6E-409C-BE32-E72D297353CC}">
              <c16:uniqueId val="{00000000-2B76-418F-BBD5-6C5DFA1E6818}"/>
            </c:ext>
          </c:extLst>
        </c:ser>
        <c:ser>
          <c:idx val="1"/>
          <c:order val="1"/>
          <c:tx>
            <c:strRef>
              <c:f>INFO!$B$15</c:f>
              <c:strCache>
                <c:ptCount val="1"/>
                <c:pt idx="0">
                  <c:v>Gross Profit</c:v>
                </c:pt>
              </c:strCache>
            </c:strRef>
          </c:tx>
          <c:spPr>
            <a:ln w="28575" cap="rnd">
              <a:solidFill>
                <a:schemeClr val="accent1"/>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INFO!$G$15:$Y$15</c:f>
              <c:numCache>
                <c:formatCode>#,##0</c:formatCode>
                <c:ptCount val="19"/>
                <c:pt idx="0">
                  <c:v>5598</c:v>
                </c:pt>
                <c:pt idx="1">
                  <c:v>8154</c:v>
                </c:pt>
                <c:pt idx="2">
                  <c:v>11145</c:v>
                </c:pt>
                <c:pt idx="3">
                  <c:v>16852</c:v>
                </c:pt>
                <c:pt idx="4">
                  <c:v>25684</c:v>
                </c:pt>
                <c:pt idx="5">
                  <c:v>43818</c:v>
                </c:pt>
                <c:pt idx="6">
                  <c:v>68662</c:v>
                </c:pt>
                <c:pt idx="7">
                  <c:v>64304</c:v>
                </c:pt>
                <c:pt idx="8">
                  <c:v>70537</c:v>
                </c:pt>
                <c:pt idx="9">
                  <c:v>93626</c:v>
                </c:pt>
                <c:pt idx="10">
                  <c:v>84263</c:v>
                </c:pt>
                <c:pt idx="11">
                  <c:v>88186</c:v>
                </c:pt>
                <c:pt idx="12">
                  <c:v>101839</c:v>
                </c:pt>
                <c:pt idx="13">
                  <c:v>98392</c:v>
                </c:pt>
                <c:pt idx="14">
                  <c:v>104956</c:v>
                </c:pt>
                <c:pt idx="15">
                  <c:v>152836</c:v>
                </c:pt>
                <c:pt idx="16">
                  <c:v>170782</c:v>
                </c:pt>
                <c:pt idx="17">
                  <c:v>169148</c:v>
                </c:pt>
                <c:pt idx="18">
                  <c:v>216071</c:v>
                </c:pt>
              </c:numCache>
            </c:numRef>
          </c:val>
          <c:smooth val="0"/>
          <c:extLst>
            <c:ext xmlns:c16="http://schemas.microsoft.com/office/drawing/2014/chart" uri="{C3380CC4-5D6E-409C-BE32-E72D297353CC}">
              <c16:uniqueId val="{00000001-2B76-418F-BBD5-6C5DFA1E6818}"/>
            </c:ext>
          </c:extLst>
        </c:ser>
        <c:ser>
          <c:idx val="2"/>
          <c:order val="2"/>
          <c:tx>
            <c:strRef>
              <c:f>INFO!$B$18</c:f>
              <c:strCache>
                <c:ptCount val="1"/>
                <c:pt idx="0">
                  <c:v>Net Income</c:v>
                </c:pt>
              </c:strCache>
            </c:strRef>
          </c:tx>
          <c:spPr>
            <a:ln w="28575" cap="rnd">
              <a:solidFill>
                <a:schemeClr val="accent1">
                  <a:tint val="65000"/>
                </a:schemeClr>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INFO!$G$18:$Y$18</c:f>
              <c:numCache>
                <c:formatCode>#,##0</c:formatCode>
                <c:ptCount val="19"/>
                <c:pt idx="0">
                  <c:v>1989</c:v>
                </c:pt>
                <c:pt idx="1">
                  <c:v>3495</c:v>
                </c:pt>
                <c:pt idx="2">
                  <c:v>4834</c:v>
                </c:pt>
                <c:pt idx="3">
                  <c:v>8235</c:v>
                </c:pt>
                <c:pt idx="4">
                  <c:v>14013</c:v>
                </c:pt>
                <c:pt idx="5">
                  <c:v>25922</c:v>
                </c:pt>
                <c:pt idx="6">
                  <c:v>41733</c:v>
                </c:pt>
                <c:pt idx="7">
                  <c:v>37037</c:v>
                </c:pt>
                <c:pt idx="8">
                  <c:v>39510</c:v>
                </c:pt>
                <c:pt idx="9">
                  <c:v>53394</c:v>
                </c:pt>
                <c:pt idx="10">
                  <c:v>45687</c:v>
                </c:pt>
                <c:pt idx="11">
                  <c:v>48351</c:v>
                </c:pt>
                <c:pt idx="12">
                  <c:v>59531</c:v>
                </c:pt>
                <c:pt idx="13">
                  <c:v>55256</c:v>
                </c:pt>
                <c:pt idx="14">
                  <c:v>57411</c:v>
                </c:pt>
                <c:pt idx="15">
                  <c:v>94680</c:v>
                </c:pt>
                <c:pt idx="16">
                  <c:v>99803</c:v>
                </c:pt>
                <c:pt idx="17">
                  <c:v>96995</c:v>
                </c:pt>
                <c:pt idx="18">
                  <c:v>122575</c:v>
                </c:pt>
              </c:numCache>
            </c:numRef>
          </c:val>
          <c:smooth val="0"/>
          <c:extLst>
            <c:ext xmlns:c16="http://schemas.microsoft.com/office/drawing/2014/chart" uri="{C3380CC4-5D6E-409C-BE32-E72D297353CC}">
              <c16:uniqueId val="{00000002-2B76-418F-BBD5-6C5DFA1E6818}"/>
            </c:ext>
          </c:extLst>
        </c:ser>
        <c:dLbls>
          <c:showLegendKey val="0"/>
          <c:showVal val="0"/>
          <c:showCatName val="0"/>
          <c:showSerName val="0"/>
          <c:showPercent val="0"/>
          <c:showBubbleSize val="0"/>
        </c:dLbls>
        <c:smooth val="0"/>
        <c:axId val="582131648"/>
        <c:axId val="1400157760"/>
      </c:lineChart>
      <c:catAx>
        <c:axId val="5821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57760"/>
        <c:crosses val="autoZero"/>
        <c:auto val="1"/>
        <c:lblAlgn val="ctr"/>
        <c:lblOffset val="100"/>
        <c:noMultiLvlLbl val="0"/>
      </c:catAx>
      <c:valAx>
        <c:axId val="1400157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31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SG&amp;A &amp; R&amp;D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INFO!$B$28</c:f>
              <c:strCache>
                <c:ptCount val="1"/>
                <c:pt idx="0">
                  <c:v>Selling General And Administrative Expenses</c:v>
                </c:pt>
              </c:strCache>
            </c:strRef>
          </c:tx>
          <c:spPr>
            <a:solidFill>
              <a:schemeClr val="accent1">
                <a:shade val="76000"/>
              </a:schemeClr>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INFO!$G$28:$Y$28</c:f>
              <c:numCache>
                <c:formatCode>#,##0</c:formatCode>
                <c:ptCount val="19"/>
                <c:pt idx="0">
                  <c:v>2433</c:v>
                </c:pt>
                <c:pt idx="1">
                  <c:v>2963</c:v>
                </c:pt>
                <c:pt idx="2">
                  <c:v>3761</c:v>
                </c:pt>
                <c:pt idx="3">
                  <c:v>4149</c:v>
                </c:pt>
                <c:pt idx="4">
                  <c:v>5517</c:v>
                </c:pt>
                <c:pt idx="5">
                  <c:v>7599</c:v>
                </c:pt>
                <c:pt idx="6">
                  <c:v>10040</c:v>
                </c:pt>
                <c:pt idx="7">
                  <c:v>10830</c:v>
                </c:pt>
                <c:pt idx="8">
                  <c:v>11993</c:v>
                </c:pt>
                <c:pt idx="9">
                  <c:v>14329</c:v>
                </c:pt>
                <c:pt idx="10">
                  <c:v>14194</c:v>
                </c:pt>
                <c:pt idx="11">
                  <c:v>15261</c:v>
                </c:pt>
                <c:pt idx="12">
                  <c:v>16705</c:v>
                </c:pt>
                <c:pt idx="13">
                  <c:v>18245</c:v>
                </c:pt>
                <c:pt idx="14">
                  <c:v>19916</c:v>
                </c:pt>
                <c:pt idx="15">
                  <c:v>21973</c:v>
                </c:pt>
                <c:pt idx="16">
                  <c:v>25094</c:v>
                </c:pt>
                <c:pt idx="17">
                  <c:v>24932</c:v>
                </c:pt>
                <c:pt idx="18">
                  <c:v>28667</c:v>
                </c:pt>
              </c:numCache>
            </c:numRef>
          </c:val>
          <c:extLst>
            <c:ext xmlns:c16="http://schemas.microsoft.com/office/drawing/2014/chart" uri="{C3380CC4-5D6E-409C-BE32-E72D297353CC}">
              <c16:uniqueId val="{00000000-6E9C-4310-9584-24ECFAF1D49A}"/>
            </c:ext>
          </c:extLst>
        </c:ser>
        <c:ser>
          <c:idx val="1"/>
          <c:order val="1"/>
          <c:tx>
            <c:strRef>
              <c:f>INFO!$B$30</c:f>
              <c:strCache>
                <c:ptCount val="1"/>
                <c:pt idx="0">
                  <c:v>Research And Development Expenses</c:v>
                </c:pt>
              </c:strCache>
            </c:strRef>
          </c:tx>
          <c:spPr>
            <a:solidFill>
              <a:schemeClr val="accent1">
                <a:tint val="77000"/>
              </a:schemeClr>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INFO!$G$30:$Y$30</c:f>
              <c:numCache>
                <c:formatCode>#,##0</c:formatCode>
                <c:ptCount val="19"/>
                <c:pt idx="0">
                  <c:v>712</c:v>
                </c:pt>
                <c:pt idx="1">
                  <c:v>782</c:v>
                </c:pt>
                <c:pt idx="2">
                  <c:v>1109</c:v>
                </c:pt>
                <c:pt idx="3">
                  <c:v>1333</c:v>
                </c:pt>
                <c:pt idx="4">
                  <c:v>1782</c:v>
                </c:pt>
                <c:pt idx="5">
                  <c:v>2429</c:v>
                </c:pt>
                <c:pt idx="6">
                  <c:v>3381</c:v>
                </c:pt>
                <c:pt idx="7">
                  <c:v>4475</c:v>
                </c:pt>
                <c:pt idx="8">
                  <c:v>6041</c:v>
                </c:pt>
                <c:pt idx="9">
                  <c:v>8067</c:v>
                </c:pt>
                <c:pt idx="10">
                  <c:v>10045</c:v>
                </c:pt>
                <c:pt idx="11">
                  <c:v>11581</c:v>
                </c:pt>
                <c:pt idx="12">
                  <c:v>14236</c:v>
                </c:pt>
                <c:pt idx="13">
                  <c:v>16217</c:v>
                </c:pt>
                <c:pt idx="14">
                  <c:v>18752</c:v>
                </c:pt>
                <c:pt idx="15">
                  <c:v>21914</c:v>
                </c:pt>
                <c:pt idx="16">
                  <c:v>26251</c:v>
                </c:pt>
                <c:pt idx="17">
                  <c:v>29915</c:v>
                </c:pt>
                <c:pt idx="18">
                  <c:v>40038</c:v>
                </c:pt>
              </c:numCache>
            </c:numRef>
          </c:val>
          <c:extLst>
            <c:ext xmlns:c16="http://schemas.microsoft.com/office/drawing/2014/chart" uri="{C3380CC4-5D6E-409C-BE32-E72D297353CC}">
              <c16:uniqueId val="{00000001-6E9C-4310-9584-24ECFAF1D49A}"/>
            </c:ext>
          </c:extLst>
        </c:ser>
        <c:dLbls>
          <c:showLegendKey val="0"/>
          <c:showVal val="0"/>
          <c:showCatName val="0"/>
          <c:showSerName val="0"/>
          <c:showPercent val="0"/>
          <c:showBubbleSize val="0"/>
        </c:dLbls>
        <c:gapWidth val="219"/>
        <c:overlap val="-27"/>
        <c:axId val="106619120"/>
        <c:axId val="106619952"/>
      </c:barChart>
      <c:catAx>
        <c:axId val="10661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9952"/>
        <c:crosses val="autoZero"/>
        <c:auto val="1"/>
        <c:lblAlgn val="ctr"/>
        <c:lblOffset val="100"/>
        <c:noMultiLvlLbl val="0"/>
      </c:catAx>
      <c:valAx>
        <c:axId val="106619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91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FCF &amp; C&amp;CE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INFO!$B$21</c:f>
              <c:strCache>
                <c:ptCount val="1"/>
                <c:pt idx="0">
                  <c:v>Free Cash Flow</c:v>
                </c:pt>
              </c:strCache>
            </c:strRef>
          </c:tx>
          <c:spPr>
            <a:solidFill>
              <a:schemeClr val="accent1">
                <a:shade val="76000"/>
              </a:schemeClr>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INFO!$G$21:$Y$21</c:f>
              <c:numCache>
                <c:formatCode>#,##0</c:formatCode>
                <c:ptCount val="19"/>
                <c:pt idx="0">
                  <c:v>1563</c:v>
                </c:pt>
                <c:pt idx="1">
                  <c:v>4484</c:v>
                </c:pt>
                <c:pt idx="2">
                  <c:v>8397</c:v>
                </c:pt>
                <c:pt idx="3">
                  <c:v>8946</c:v>
                </c:pt>
                <c:pt idx="4">
                  <c:v>16474</c:v>
                </c:pt>
                <c:pt idx="5">
                  <c:v>30077</c:v>
                </c:pt>
                <c:pt idx="6">
                  <c:v>41454</c:v>
                </c:pt>
                <c:pt idx="7">
                  <c:v>44590</c:v>
                </c:pt>
                <c:pt idx="8">
                  <c:v>49900</c:v>
                </c:pt>
                <c:pt idx="9">
                  <c:v>69778</c:v>
                </c:pt>
                <c:pt idx="10">
                  <c:v>52683</c:v>
                </c:pt>
                <c:pt idx="11">
                  <c:v>51430</c:v>
                </c:pt>
                <c:pt idx="12">
                  <c:v>64121</c:v>
                </c:pt>
                <c:pt idx="13">
                  <c:v>58896</c:v>
                </c:pt>
                <c:pt idx="14">
                  <c:v>73365</c:v>
                </c:pt>
                <c:pt idx="15">
                  <c:v>92953</c:v>
                </c:pt>
                <c:pt idx="16">
                  <c:v>111443</c:v>
                </c:pt>
                <c:pt idx="17">
                  <c:v>99584</c:v>
                </c:pt>
                <c:pt idx="18">
                  <c:v>129174</c:v>
                </c:pt>
              </c:numCache>
            </c:numRef>
          </c:val>
          <c:extLst>
            <c:ext xmlns:c16="http://schemas.microsoft.com/office/drawing/2014/chart" uri="{C3380CC4-5D6E-409C-BE32-E72D297353CC}">
              <c16:uniqueId val="{00000000-C3DB-489C-A823-DB78619DA276}"/>
            </c:ext>
          </c:extLst>
        </c:ser>
        <c:dLbls>
          <c:showLegendKey val="0"/>
          <c:showVal val="0"/>
          <c:showCatName val="0"/>
          <c:showSerName val="0"/>
          <c:showPercent val="0"/>
          <c:showBubbleSize val="0"/>
        </c:dLbls>
        <c:gapWidth val="219"/>
        <c:overlap val="-27"/>
        <c:axId val="384709024"/>
        <c:axId val="384717344"/>
      </c:barChart>
      <c:lineChart>
        <c:grouping val="standard"/>
        <c:varyColors val="0"/>
        <c:ser>
          <c:idx val="1"/>
          <c:order val="1"/>
          <c:tx>
            <c:strRef>
              <c:f>INFO!$B$27</c:f>
              <c:strCache>
                <c:ptCount val="1"/>
                <c:pt idx="0">
                  <c:v>Cash And Cash Equivalents</c:v>
                </c:pt>
              </c:strCache>
            </c:strRef>
          </c:tx>
          <c:spPr>
            <a:ln w="28575" cap="rnd">
              <a:solidFill>
                <a:schemeClr val="accent1">
                  <a:tint val="77000"/>
                </a:schemeClr>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INFO!$G$27:$Y$27</c:f>
              <c:numCache>
                <c:formatCode>#,##0</c:formatCode>
                <c:ptCount val="19"/>
                <c:pt idx="0">
                  <c:v>6392</c:v>
                </c:pt>
                <c:pt idx="1">
                  <c:v>9352</c:v>
                </c:pt>
                <c:pt idx="2">
                  <c:v>11875</c:v>
                </c:pt>
                <c:pt idx="3">
                  <c:v>5263</c:v>
                </c:pt>
                <c:pt idx="4">
                  <c:v>11261</c:v>
                </c:pt>
                <c:pt idx="5">
                  <c:v>9815</c:v>
                </c:pt>
                <c:pt idx="6">
                  <c:v>10746</c:v>
                </c:pt>
                <c:pt idx="7">
                  <c:v>14259</c:v>
                </c:pt>
                <c:pt idx="8">
                  <c:v>13844</c:v>
                </c:pt>
                <c:pt idx="9">
                  <c:v>21120</c:v>
                </c:pt>
                <c:pt idx="10">
                  <c:v>20484</c:v>
                </c:pt>
                <c:pt idx="11">
                  <c:v>20289</c:v>
                </c:pt>
                <c:pt idx="12">
                  <c:v>25913</c:v>
                </c:pt>
                <c:pt idx="13">
                  <c:v>48844</c:v>
                </c:pt>
                <c:pt idx="14">
                  <c:v>38016</c:v>
                </c:pt>
                <c:pt idx="15">
                  <c:v>34940</c:v>
                </c:pt>
                <c:pt idx="16">
                  <c:v>23646</c:v>
                </c:pt>
                <c:pt idx="17">
                  <c:v>29965</c:v>
                </c:pt>
                <c:pt idx="18">
                  <c:v>36328</c:v>
                </c:pt>
              </c:numCache>
            </c:numRef>
          </c:val>
          <c:smooth val="0"/>
          <c:extLst>
            <c:ext xmlns:c16="http://schemas.microsoft.com/office/drawing/2014/chart" uri="{C3380CC4-5D6E-409C-BE32-E72D297353CC}">
              <c16:uniqueId val="{00000001-C3DB-489C-A823-DB78619DA276}"/>
            </c:ext>
          </c:extLst>
        </c:ser>
        <c:dLbls>
          <c:showLegendKey val="0"/>
          <c:showVal val="0"/>
          <c:showCatName val="0"/>
          <c:showSerName val="0"/>
          <c:showPercent val="0"/>
          <c:showBubbleSize val="0"/>
        </c:dLbls>
        <c:marker val="1"/>
        <c:smooth val="0"/>
        <c:axId val="384709024"/>
        <c:axId val="384717344"/>
      </c:lineChart>
      <c:catAx>
        <c:axId val="3847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17344"/>
        <c:crosses val="autoZero"/>
        <c:auto val="1"/>
        <c:lblAlgn val="ctr"/>
        <c:lblOffset val="100"/>
        <c:noMultiLvlLbl val="0"/>
      </c:catAx>
      <c:valAx>
        <c:axId val="38471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7090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EPS &amp; Dividend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INFO!$B$20</c:f>
              <c:strCache>
                <c:ptCount val="1"/>
                <c:pt idx="0">
                  <c:v>EPS</c:v>
                </c:pt>
              </c:strCache>
            </c:strRef>
          </c:tx>
          <c:spPr>
            <a:ln w="28575" cap="rnd">
              <a:solidFill>
                <a:schemeClr val="accent1">
                  <a:shade val="76000"/>
                </a:schemeClr>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INFO!$G$20:$Y$20</c:f>
              <c:numCache>
                <c:formatCode>#,##0.00</c:formatCode>
                <c:ptCount val="19"/>
                <c:pt idx="0">
                  <c:v>0.08</c:v>
                </c:pt>
                <c:pt idx="1">
                  <c:v>0.14000000000000001</c:v>
                </c:pt>
                <c:pt idx="2">
                  <c:v>0.2</c:v>
                </c:pt>
                <c:pt idx="3">
                  <c:v>0.33</c:v>
                </c:pt>
                <c:pt idx="4">
                  <c:v>0.55000000000000004</c:v>
                </c:pt>
                <c:pt idx="5">
                  <c:v>1</c:v>
                </c:pt>
                <c:pt idx="6">
                  <c:v>1.59</c:v>
                </c:pt>
                <c:pt idx="7">
                  <c:v>1.43</c:v>
                </c:pt>
                <c:pt idx="8">
                  <c:v>1.62</c:v>
                </c:pt>
                <c:pt idx="9">
                  <c:v>2.3199999999999998</c:v>
                </c:pt>
                <c:pt idx="10">
                  <c:v>2.09</c:v>
                </c:pt>
                <c:pt idx="11">
                  <c:v>2.3199999999999998</c:v>
                </c:pt>
                <c:pt idx="12">
                  <c:v>3</c:v>
                </c:pt>
                <c:pt idx="13">
                  <c:v>2.99</c:v>
                </c:pt>
                <c:pt idx="14">
                  <c:v>3.31</c:v>
                </c:pt>
                <c:pt idx="15">
                  <c:v>5.67</c:v>
                </c:pt>
                <c:pt idx="16">
                  <c:v>6.15</c:v>
                </c:pt>
                <c:pt idx="17">
                  <c:v>6.16</c:v>
                </c:pt>
                <c:pt idx="18">
                  <c:v>8.2900000000000009</c:v>
                </c:pt>
              </c:numCache>
            </c:numRef>
          </c:val>
          <c:smooth val="0"/>
          <c:extLst>
            <c:ext xmlns:c16="http://schemas.microsoft.com/office/drawing/2014/chart" uri="{C3380CC4-5D6E-409C-BE32-E72D297353CC}">
              <c16:uniqueId val="{00000000-CB02-457F-8798-61AF5A45C6B1}"/>
            </c:ext>
          </c:extLst>
        </c:ser>
        <c:ser>
          <c:idx val="1"/>
          <c:order val="1"/>
          <c:tx>
            <c:strRef>
              <c:f>INFO!$B$42</c:f>
              <c:strCache>
                <c:ptCount val="1"/>
                <c:pt idx="0">
                  <c:v>Dividend</c:v>
                </c:pt>
              </c:strCache>
            </c:strRef>
          </c:tx>
          <c:spPr>
            <a:ln w="28575" cap="rnd">
              <a:solidFill>
                <a:schemeClr val="accent1">
                  <a:tint val="77000"/>
                </a:schemeClr>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INFO!$G$42:$Y$42</c:f>
              <c:numCache>
                <c:formatCode>0.00</c:formatCode>
                <c:ptCount val="19"/>
                <c:pt idx="0">
                  <c:v>0</c:v>
                </c:pt>
                <c:pt idx="1">
                  <c:v>0</c:v>
                </c:pt>
                <c:pt idx="2">
                  <c:v>0</c:v>
                </c:pt>
                <c:pt idx="3">
                  <c:v>0</c:v>
                </c:pt>
                <c:pt idx="4">
                  <c:v>0</c:v>
                </c:pt>
                <c:pt idx="5">
                  <c:v>0</c:v>
                </c:pt>
                <c:pt idx="6">
                  <c:v>5.3</c:v>
                </c:pt>
                <c:pt idx="7">
                  <c:v>11.799999999999999</c:v>
                </c:pt>
                <c:pt idx="8">
                  <c:v>7.28</c:v>
                </c:pt>
                <c:pt idx="9">
                  <c:v>2.0300000000000002</c:v>
                </c:pt>
                <c:pt idx="10">
                  <c:v>2.23</c:v>
                </c:pt>
                <c:pt idx="11">
                  <c:v>2.46</c:v>
                </c:pt>
                <c:pt idx="12">
                  <c:v>2.82</c:v>
                </c:pt>
                <c:pt idx="13">
                  <c:v>3.04</c:v>
                </c:pt>
                <c:pt idx="14">
                  <c:v>2.6149999999999998</c:v>
                </c:pt>
                <c:pt idx="15">
                  <c:v>0.86499999999999999</c:v>
                </c:pt>
                <c:pt idx="16">
                  <c:v>0.91</c:v>
                </c:pt>
                <c:pt idx="17">
                  <c:v>0.95</c:v>
                </c:pt>
                <c:pt idx="18">
                  <c:v>1.05</c:v>
                </c:pt>
              </c:numCache>
            </c:numRef>
          </c:val>
          <c:smooth val="0"/>
          <c:extLst>
            <c:ext xmlns:c16="http://schemas.microsoft.com/office/drawing/2014/chart" uri="{C3380CC4-5D6E-409C-BE32-E72D297353CC}">
              <c16:uniqueId val="{00000001-CB02-457F-8798-61AF5A45C6B1}"/>
            </c:ext>
          </c:extLst>
        </c:ser>
        <c:dLbls>
          <c:showLegendKey val="0"/>
          <c:showVal val="0"/>
          <c:showCatName val="0"/>
          <c:showSerName val="0"/>
          <c:showPercent val="0"/>
          <c:showBubbleSize val="0"/>
        </c:dLbls>
        <c:smooth val="0"/>
        <c:axId val="190680304"/>
        <c:axId val="190679056"/>
      </c:lineChart>
      <c:catAx>
        <c:axId val="19068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79056"/>
        <c:crosses val="autoZero"/>
        <c:auto val="1"/>
        <c:lblAlgn val="ctr"/>
        <c:lblOffset val="100"/>
        <c:noMultiLvlLbl val="0"/>
      </c:catAx>
      <c:valAx>
        <c:axId val="190679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803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INFO!$B$41</c:f>
              <c:strCache>
                <c:ptCount val="1"/>
                <c:pt idx="0">
                  <c:v>ROE</c:v>
                </c:pt>
              </c:strCache>
            </c:strRef>
          </c:tx>
          <c:spPr>
            <a:solidFill>
              <a:schemeClr val="accent1"/>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INFO!$G$41:$Y$41</c:f>
              <c:numCache>
                <c:formatCode>0.00</c:formatCode>
                <c:ptCount val="19"/>
                <c:pt idx="0">
                  <c:v>0.19921875</c:v>
                </c:pt>
                <c:pt idx="1">
                  <c:v>0.2405037159</c:v>
                </c:pt>
                <c:pt idx="2">
                  <c:v>0.2168004664</c:v>
                </c:pt>
                <c:pt idx="3">
                  <c:v>0.26027180779999998</c:v>
                </c:pt>
                <c:pt idx="4">
                  <c:v>0.29321420349999999</c:v>
                </c:pt>
                <c:pt idx="5">
                  <c:v>0.33834105590000002</c:v>
                </c:pt>
                <c:pt idx="6">
                  <c:v>0.35304119789999999</c:v>
                </c:pt>
                <c:pt idx="7">
                  <c:v>0.2997757975</c:v>
                </c:pt>
                <c:pt idx="8">
                  <c:v>0.35420047160000001</c:v>
                </c:pt>
                <c:pt idx="9">
                  <c:v>0.44735453060000002</c:v>
                </c:pt>
                <c:pt idx="10">
                  <c:v>0.3562366958</c:v>
                </c:pt>
                <c:pt idx="11">
                  <c:v>0.3607018434</c:v>
                </c:pt>
                <c:pt idx="12">
                  <c:v>0.55560118339999998</c:v>
                </c:pt>
                <c:pt idx="13">
                  <c:v>0.61064450530000003</c:v>
                </c:pt>
                <c:pt idx="14">
                  <c:v>0.87866358529999999</c:v>
                </c:pt>
                <c:pt idx="15">
                  <c:v>1.5007132668000001</c:v>
                </c:pt>
                <c:pt idx="16">
                  <c:v>1.9695887274999999</c:v>
                </c:pt>
                <c:pt idx="17">
                  <c:v>1.5607601455</c:v>
                </c:pt>
                <c:pt idx="18">
                  <c:v>1.4668924498270723</c:v>
                </c:pt>
              </c:numCache>
            </c:numRef>
          </c:val>
          <c:extLst>
            <c:ext xmlns:c16="http://schemas.microsoft.com/office/drawing/2014/chart" uri="{C3380CC4-5D6E-409C-BE32-E72D297353CC}">
              <c16:uniqueId val="{00000000-3CD4-4D93-BDBF-225FD11A9C80}"/>
            </c:ext>
          </c:extLst>
        </c:ser>
        <c:dLbls>
          <c:showLegendKey val="0"/>
          <c:showVal val="0"/>
          <c:showCatName val="0"/>
          <c:showSerName val="0"/>
          <c:showPercent val="0"/>
          <c:showBubbleSize val="0"/>
        </c:dLbls>
        <c:gapWidth val="219"/>
        <c:overlap val="-27"/>
        <c:axId val="221064224"/>
        <c:axId val="221064640"/>
      </c:barChart>
      <c:catAx>
        <c:axId val="2210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4640"/>
        <c:crosses val="autoZero"/>
        <c:auto val="1"/>
        <c:lblAlgn val="ctr"/>
        <c:lblOffset val="100"/>
        <c:noMultiLvlLbl val="0"/>
      </c:catAx>
      <c:valAx>
        <c:axId val="221064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PE &amp; PB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INFO!$B$38</c:f>
              <c:strCache>
                <c:ptCount val="1"/>
                <c:pt idx="0">
                  <c:v>PE Ratio</c:v>
                </c:pt>
              </c:strCache>
            </c:strRef>
          </c:tx>
          <c:spPr>
            <a:solidFill>
              <a:schemeClr val="accent1">
                <a:shade val="76000"/>
              </a:schemeClr>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INFO!$G$38:$Y$38</c:f>
              <c:numCache>
                <c:formatCode>0.00</c:formatCode>
                <c:ptCount val="19"/>
                <c:pt idx="0">
                  <c:v>32.675950729</c:v>
                </c:pt>
                <c:pt idx="1">
                  <c:v>37.958108572199997</c:v>
                </c:pt>
                <c:pt idx="2">
                  <c:v>23.387537873399999</c:v>
                </c:pt>
                <c:pt idx="3">
                  <c:v>19.766741864699998</c:v>
                </c:pt>
                <c:pt idx="4">
                  <c:v>18.971947860099998</c:v>
                </c:pt>
                <c:pt idx="5">
                  <c:v>14.416185797900001</c:v>
                </c:pt>
                <c:pt idx="6">
                  <c:v>14.9461717597</c:v>
                </c:pt>
                <c:pt idx="7">
                  <c:v>12.060258128899999</c:v>
                </c:pt>
                <c:pt idx="8">
                  <c:v>15.5196718481</c:v>
                </c:pt>
                <c:pt idx="9">
                  <c:v>12.361547310900001</c:v>
                </c:pt>
                <c:pt idx="10">
                  <c:v>13.4977308731</c:v>
                </c:pt>
                <c:pt idx="11">
                  <c:v>16.6300870104</c:v>
                </c:pt>
                <c:pt idx="12">
                  <c:v>18.792325200699999</c:v>
                </c:pt>
                <c:pt idx="13">
                  <c:v>18.2888155596</c:v>
                </c:pt>
                <c:pt idx="14">
                  <c:v>33.935934251600003</c:v>
                </c:pt>
                <c:pt idx="15">
                  <c:v>25.916253509099999</c:v>
                </c:pt>
                <c:pt idx="16">
                  <c:v>24.441823533299999</c:v>
                </c:pt>
                <c:pt idx="17">
                  <c:v>27.790811789399999</c:v>
                </c:pt>
                <c:pt idx="18">
                  <c:v>39.505428226779252</c:v>
                </c:pt>
              </c:numCache>
            </c:numRef>
          </c:val>
          <c:extLst>
            <c:ext xmlns:c16="http://schemas.microsoft.com/office/drawing/2014/chart" uri="{C3380CC4-5D6E-409C-BE32-E72D297353CC}">
              <c16:uniqueId val="{00000000-C510-4776-8E50-1AECEDE5947F}"/>
            </c:ext>
          </c:extLst>
        </c:ser>
        <c:ser>
          <c:idx val="1"/>
          <c:order val="1"/>
          <c:tx>
            <c:strRef>
              <c:f>INFO!$B$39</c:f>
              <c:strCache>
                <c:ptCount val="1"/>
                <c:pt idx="0">
                  <c:v>PB Ratio</c:v>
                </c:pt>
              </c:strCache>
            </c:strRef>
          </c:tx>
          <c:spPr>
            <a:solidFill>
              <a:schemeClr val="accent1">
                <a:tint val="77000"/>
              </a:schemeClr>
            </a:solidFill>
            <a:ln>
              <a:noFill/>
            </a:ln>
            <a:effectLst/>
          </c:spPr>
          <c:invertIfNegative val="0"/>
          <c:val>
            <c:numRef>
              <c:f>INFO!$G$39:$Y$39</c:f>
              <c:numCache>
                <c:formatCode>0.00</c:formatCode>
                <c:ptCount val="19"/>
                <c:pt idx="0">
                  <c:v>6.5096620593000001</c:v>
                </c:pt>
                <c:pt idx="1">
                  <c:v>9.1290661616000008</c:v>
                </c:pt>
                <c:pt idx="2">
                  <c:v>5.0704291196</c:v>
                </c:pt>
                <c:pt idx="3">
                  <c:v>5.1447256401999999</c:v>
                </c:pt>
                <c:pt idx="4">
                  <c:v>5.5628445809000002</c:v>
                </c:pt>
                <c:pt idx="5">
                  <c:v>4.8775875253000001</c:v>
                </c:pt>
                <c:pt idx="6">
                  <c:v>5.2766143816</c:v>
                </c:pt>
                <c:pt idx="7">
                  <c:v>3.6153734980999999</c:v>
                </c:pt>
                <c:pt idx="8">
                  <c:v>5.4970750868999998</c:v>
                </c:pt>
                <c:pt idx="9">
                  <c:v>5.5299941948000004</c:v>
                </c:pt>
                <c:pt idx="10">
                  <c:v>4.8083870471000001</c:v>
                </c:pt>
                <c:pt idx="11">
                  <c:v>5.9985030403000001</c:v>
                </c:pt>
                <c:pt idx="12">
                  <c:v>10.4410381207</c:v>
                </c:pt>
                <c:pt idx="13">
                  <c:v>11.1679647308</c:v>
                </c:pt>
                <c:pt idx="14">
                  <c:v>29.8182696601</c:v>
                </c:pt>
                <c:pt idx="15">
                  <c:v>38.8928654658</c:v>
                </c:pt>
                <c:pt idx="16">
                  <c:v>48.140340110700002</c:v>
                </c:pt>
                <c:pt idx="17">
                  <c:v>43.374791450899998</c:v>
                </c:pt>
                <c:pt idx="18">
                  <c:v>45.241007643838451</c:v>
                </c:pt>
              </c:numCache>
            </c:numRef>
          </c:val>
          <c:extLst>
            <c:ext xmlns:c16="http://schemas.microsoft.com/office/drawing/2014/chart" uri="{C3380CC4-5D6E-409C-BE32-E72D297353CC}">
              <c16:uniqueId val="{00000001-C510-4776-8E50-1AECEDE5947F}"/>
            </c:ext>
          </c:extLst>
        </c:ser>
        <c:dLbls>
          <c:showLegendKey val="0"/>
          <c:showVal val="0"/>
          <c:showCatName val="0"/>
          <c:showSerName val="0"/>
          <c:showPercent val="0"/>
          <c:showBubbleSize val="0"/>
        </c:dLbls>
        <c:gapWidth val="219"/>
        <c:overlap val="-27"/>
        <c:axId val="221064224"/>
        <c:axId val="221064640"/>
      </c:barChart>
      <c:catAx>
        <c:axId val="2210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4640"/>
        <c:crosses val="autoZero"/>
        <c:auto val="1"/>
        <c:lblAlgn val="ctr"/>
        <c:lblOffset val="100"/>
        <c:noMultiLvlLbl val="0"/>
      </c:catAx>
      <c:valAx>
        <c:axId val="221064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4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INFO!$B$40</c:f>
              <c:strCache>
                <c:ptCount val="1"/>
                <c:pt idx="0">
                  <c:v>Current Ratio</c:v>
                </c:pt>
              </c:strCache>
            </c:strRef>
          </c:tx>
          <c:spPr>
            <a:solidFill>
              <a:schemeClr val="accent1"/>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INFO!$G$40:$Y$40</c:f>
              <c:numCache>
                <c:formatCode>0.00</c:formatCode>
                <c:ptCount val="19"/>
                <c:pt idx="0">
                  <c:v>2.2519012882</c:v>
                </c:pt>
                <c:pt idx="1">
                  <c:v>2.3659482759000001</c:v>
                </c:pt>
                <c:pt idx="2">
                  <c:v>2.6411407446999999</c:v>
                </c:pt>
                <c:pt idx="3">
                  <c:v>2.7424821831999999</c:v>
                </c:pt>
                <c:pt idx="4">
                  <c:v>2.0112923462999999</c:v>
                </c:pt>
                <c:pt idx="5">
                  <c:v>1.6084376117000001</c:v>
                </c:pt>
                <c:pt idx="6">
                  <c:v>1.4958486846000001</c:v>
                </c:pt>
                <c:pt idx="7">
                  <c:v>1.6786385084</c:v>
                </c:pt>
                <c:pt idx="8">
                  <c:v>1.0801128483</c:v>
                </c:pt>
                <c:pt idx="9">
                  <c:v>1.1087706239999999</c:v>
                </c:pt>
                <c:pt idx="10">
                  <c:v>1.3526694175</c:v>
                </c:pt>
                <c:pt idx="11">
                  <c:v>1.2760628484000001</c:v>
                </c:pt>
                <c:pt idx="12">
                  <c:v>1.1329261876000001</c:v>
                </c:pt>
                <c:pt idx="13">
                  <c:v>1.5401256172</c:v>
                </c:pt>
                <c:pt idx="14">
                  <c:v>1.3636044482</c:v>
                </c:pt>
                <c:pt idx="15">
                  <c:v>1.0745531196</c:v>
                </c:pt>
                <c:pt idx="16">
                  <c:v>0.87935602859999995</c:v>
                </c:pt>
                <c:pt idx="17">
                  <c:v>0.98801167180000005</c:v>
                </c:pt>
                <c:pt idx="18">
                  <c:v>1.07035746912159</c:v>
                </c:pt>
              </c:numCache>
            </c:numRef>
          </c:val>
          <c:extLst>
            <c:ext xmlns:c16="http://schemas.microsoft.com/office/drawing/2014/chart" uri="{C3380CC4-5D6E-409C-BE32-E72D297353CC}">
              <c16:uniqueId val="{00000000-0C9C-478A-954E-FED84E4E12FE}"/>
            </c:ext>
          </c:extLst>
        </c:ser>
        <c:dLbls>
          <c:showLegendKey val="0"/>
          <c:showVal val="0"/>
          <c:showCatName val="0"/>
          <c:showSerName val="0"/>
          <c:showPercent val="0"/>
          <c:showBubbleSize val="0"/>
        </c:dLbls>
        <c:gapWidth val="219"/>
        <c:overlap val="-27"/>
        <c:axId val="221066720"/>
        <c:axId val="221067552"/>
      </c:barChart>
      <c:catAx>
        <c:axId val="2210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7552"/>
        <c:crosses val="autoZero"/>
        <c:auto val="1"/>
        <c:lblAlgn val="ctr"/>
        <c:lblOffset val="100"/>
        <c:noMultiLvlLbl val="0"/>
      </c:catAx>
      <c:valAx>
        <c:axId val="221067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INFO!$B$43</c:f>
              <c:strCache>
                <c:ptCount val="1"/>
                <c:pt idx="0">
                  <c:v>Dividend Yield</c:v>
                </c:pt>
              </c:strCache>
            </c:strRef>
          </c:tx>
          <c:spPr>
            <a:ln w="28575" cap="rnd">
              <a:solidFill>
                <a:schemeClr val="accent1">
                  <a:tint val="77000"/>
                </a:schemeClr>
              </a:solidFill>
              <a:round/>
            </a:ln>
            <a:effectLst/>
          </c:spPr>
          <c:marker>
            <c:symbol val="none"/>
          </c:marke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(INFO!$B$43,INFO!$G$43:$X$43)</c:f>
              <c:numCache>
                <c:formatCode>0.0%</c:formatCode>
                <c:ptCount val="19"/>
                <c:pt idx="0" formatCode="General">
                  <c:v>0</c:v>
                </c:pt>
                <c:pt idx="1">
                  <c:v>0</c:v>
                </c:pt>
                <c:pt idx="2">
                  <c:v>0</c:v>
                </c:pt>
                <c:pt idx="3">
                  <c:v>0</c:v>
                </c:pt>
                <c:pt idx="4">
                  <c:v>0</c:v>
                </c:pt>
                <c:pt idx="5">
                  <c:v>0</c:v>
                </c:pt>
                <c:pt idx="6">
                  <c:v>0</c:v>
                </c:pt>
                <c:pt idx="7">
                  <c:v>3.9887865999999996E-3</c:v>
                </c:pt>
                <c:pt idx="8">
                  <c:v>2.36502637E-2</c:v>
                </c:pt>
                <c:pt idx="9">
                  <c:v>1.8144687499999999E-2</c:v>
                </c:pt>
                <c:pt idx="10">
                  <c:v>1.7515805299999999E-2</c:v>
                </c:pt>
                <c:pt idx="11">
                  <c:v>1.9702569699999999E-2</c:v>
                </c:pt>
                <c:pt idx="12">
                  <c:v>1.5880234300000001E-2</c:v>
                </c:pt>
                <c:pt idx="13">
                  <c:v>1.2256800199999999E-2</c:v>
                </c:pt>
                <c:pt idx="14">
                  <c:v>1.39713675E-2</c:v>
                </c:pt>
                <c:pt idx="15">
                  <c:v>7.2273414999999997E-3</c:v>
                </c:pt>
                <c:pt idx="16">
                  <c:v>5.8958715000000002E-3</c:v>
                </c:pt>
                <c:pt idx="17">
                  <c:v>6.0839546000000001E-3</c:v>
                </c:pt>
                <c:pt idx="18">
                  <c:v>5.5739607E-3</c:v>
                </c:pt>
              </c:numCache>
            </c:numRef>
          </c:val>
          <c:smooth val="0"/>
          <c:extLst>
            <c:ext xmlns:c16="http://schemas.microsoft.com/office/drawing/2014/chart" uri="{C3380CC4-5D6E-409C-BE32-E72D297353CC}">
              <c16:uniqueId val="{00000001-42E3-4B4C-A6C4-1C28E9C00965}"/>
            </c:ext>
          </c:extLst>
        </c:ser>
        <c:dLbls>
          <c:showLegendKey val="0"/>
          <c:showVal val="0"/>
          <c:showCatName val="0"/>
          <c:showSerName val="0"/>
          <c:showPercent val="0"/>
          <c:showBubbleSize val="0"/>
        </c:dLbls>
        <c:smooth val="0"/>
        <c:axId val="221066720"/>
        <c:axId val="221067552"/>
      </c:lineChart>
      <c:catAx>
        <c:axId val="221066720"/>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7552"/>
        <c:crosses val="autoZero"/>
        <c:auto val="1"/>
        <c:lblAlgn val="ctr"/>
        <c:lblOffset val="100"/>
        <c:noMultiLvlLbl val="0"/>
      </c:catAx>
      <c:valAx>
        <c:axId val="221067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Gross &amp; Net Margins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INFO!$B$16</c:f>
              <c:strCache>
                <c:ptCount val="1"/>
                <c:pt idx="0">
                  <c:v>Gross Margin</c:v>
                </c:pt>
              </c:strCache>
            </c:strRef>
          </c:tx>
          <c:spPr>
            <a:solidFill>
              <a:schemeClr val="accent1">
                <a:shade val="76000"/>
              </a:schemeClr>
            </a:solidFill>
            <a:ln>
              <a:noFill/>
            </a:ln>
            <a:effectLst/>
          </c:spP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INFO!$G$16:$Y$16</c:f>
              <c:numCache>
                <c:formatCode>0%</c:formatCode>
                <c:ptCount val="19"/>
                <c:pt idx="0">
                  <c:v>0.28982655966865128</c:v>
                </c:pt>
                <c:pt idx="1">
                  <c:v>0.33966508372906773</c:v>
                </c:pt>
                <c:pt idx="2">
                  <c:v>0.34314480125619629</c:v>
                </c:pt>
                <c:pt idx="3">
                  <c:v>0.39555899819261553</c:v>
                </c:pt>
                <c:pt idx="4">
                  <c:v>0.39377539287083174</c:v>
                </c:pt>
                <c:pt idx="5">
                  <c:v>0.40478895878945764</c:v>
                </c:pt>
                <c:pt idx="6">
                  <c:v>0.43871239808827661</c:v>
                </c:pt>
                <c:pt idx="7">
                  <c:v>0.37624480720847231</c:v>
                </c:pt>
                <c:pt idx="8">
                  <c:v>0.38588035777783858</c:v>
                </c:pt>
                <c:pt idx="9">
                  <c:v>0.40059902017414373</c:v>
                </c:pt>
                <c:pt idx="10">
                  <c:v>0.39075955648097049</c:v>
                </c:pt>
                <c:pt idx="11">
                  <c:v>0.38469860491899105</c:v>
                </c:pt>
                <c:pt idx="12">
                  <c:v>0.38343718820007905</c:v>
                </c:pt>
                <c:pt idx="13">
                  <c:v>0.37817768109034722</c:v>
                </c:pt>
                <c:pt idx="14">
                  <c:v>0.38233247727810865</c:v>
                </c:pt>
                <c:pt idx="15">
                  <c:v>0.41779359625167778</c:v>
                </c:pt>
                <c:pt idx="16">
                  <c:v>0.43309630561360085</c:v>
                </c:pt>
                <c:pt idx="17">
                  <c:v>0.44131129577207562</c:v>
                </c:pt>
                <c:pt idx="18">
                  <c:v>0.47862405358827936</c:v>
                </c:pt>
              </c:numCache>
            </c:numRef>
          </c:val>
          <c:extLst>
            <c:ext xmlns:c16="http://schemas.microsoft.com/office/drawing/2014/chart" uri="{C3380CC4-5D6E-409C-BE32-E72D297353CC}">
              <c16:uniqueId val="{00000000-A2E5-43CD-B391-EB940A290674}"/>
            </c:ext>
          </c:extLst>
        </c:ser>
        <c:ser>
          <c:idx val="1"/>
          <c:order val="1"/>
          <c:tx>
            <c:strRef>
              <c:f>INFO!$B$19</c:f>
              <c:strCache>
                <c:ptCount val="1"/>
                <c:pt idx="0">
                  <c:v>Net Margin</c:v>
                </c:pt>
              </c:strCache>
            </c:strRef>
          </c:tx>
          <c:spPr>
            <a:solidFill>
              <a:schemeClr val="accent1">
                <a:tint val="77000"/>
              </a:schemeClr>
            </a:solidFill>
            <a:ln>
              <a:noFill/>
            </a:ln>
            <a:effectLst/>
          </c:spPr>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INFO!$G$19:$Y$19</c:f>
              <c:numCache>
                <c:formatCode>0%</c:formatCode>
                <c:ptCount val="19"/>
                <c:pt idx="0">
                  <c:v>0.10297696091120891</c:v>
                </c:pt>
                <c:pt idx="1">
                  <c:v>0.14558860284928768</c:v>
                </c:pt>
                <c:pt idx="2">
                  <c:v>0.14883463160811602</c:v>
                </c:pt>
                <c:pt idx="3">
                  <c:v>0.1932962467431871</c:v>
                </c:pt>
                <c:pt idx="4">
                  <c:v>0.21484093522422384</c:v>
                </c:pt>
                <c:pt idx="5">
                  <c:v>0.2394664153941376</c:v>
                </c:pt>
                <c:pt idx="6">
                  <c:v>0.26665090602397323</c:v>
                </c:pt>
                <c:pt idx="7">
                  <c:v>0.21670469837926393</c:v>
                </c:pt>
                <c:pt idx="8">
                  <c:v>0.21614376760852322</c:v>
                </c:pt>
                <c:pt idx="9">
                  <c:v>0.22845773698735639</c:v>
                </c:pt>
                <c:pt idx="10">
                  <c:v>0.211867983064288</c:v>
                </c:pt>
                <c:pt idx="11">
                  <c:v>0.21092420845075338</c:v>
                </c:pt>
                <c:pt idx="12">
                  <c:v>0.22414202074587247</c:v>
                </c:pt>
                <c:pt idx="13">
                  <c:v>0.21238094505984456</c:v>
                </c:pt>
                <c:pt idx="14">
                  <c:v>0.20913611278072236</c:v>
                </c:pt>
                <c:pt idx="15">
                  <c:v>0.25881793355694238</c:v>
                </c:pt>
                <c:pt idx="16">
                  <c:v>0.25309640705199732</c:v>
                </c:pt>
                <c:pt idx="17">
                  <c:v>0.25306234264320282</c:v>
                </c:pt>
                <c:pt idx="18">
                  <c:v>0.27151882190846222</c:v>
                </c:pt>
              </c:numCache>
            </c:numRef>
          </c:val>
          <c:extLst>
            <c:ext xmlns:c16="http://schemas.microsoft.com/office/drawing/2014/chart" uri="{C3380CC4-5D6E-409C-BE32-E72D297353CC}">
              <c16:uniqueId val="{00000001-A2E5-43CD-B391-EB940A290674}"/>
            </c:ext>
          </c:extLst>
        </c:ser>
        <c:dLbls>
          <c:showLegendKey val="0"/>
          <c:showVal val="0"/>
          <c:showCatName val="0"/>
          <c:showSerName val="0"/>
          <c:showPercent val="0"/>
          <c:showBubbleSize val="0"/>
        </c:dLbls>
        <c:axId val="573889808"/>
        <c:axId val="573893552"/>
      </c:areaChart>
      <c:catAx>
        <c:axId val="573889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93552"/>
        <c:crosses val="autoZero"/>
        <c:auto val="1"/>
        <c:lblAlgn val="ctr"/>
        <c:lblOffset val="100"/>
        <c:noMultiLvlLbl val="0"/>
      </c:catAx>
      <c:valAx>
        <c:axId val="57389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8980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INFO!$B$45</c:f>
              <c:strCache>
                <c:ptCount val="1"/>
                <c:pt idx="0">
                  <c:v>Weighted Average Shs Out Dil</c:v>
                </c:pt>
              </c:strCache>
            </c:strRef>
          </c:tx>
          <c:spPr>
            <a:solidFill>
              <a:schemeClr val="accent1">
                <a:tint val="77000"/>
              </a:schemeClr>
            </a:solidFill>
            <a:ln>
              <a:noFill/>
            </a:ln>
            <a:effectLst/>
          </c:spPr>
          <c:invertIfNegative val="0"/>
          <c:cat>
            <c:strRef>
              <c:f>INFO!$G$13:$Y$13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TTM</c:v>
                </c:pt>
              </c:strCache>
            </c:strRef>
          </c:cat>
          <c:val>
            <c:numRef>
              <c:f>INFO!$G$45:$Y$45</c:f>
              <c:numCache>
                <c:formatCode>#,##0</c:formatCode>
                <c:ptCount val="19"/>
                <c:pt idx="0">
                  <c:v>24570.727999999999</c:v>
                </c:pt>
                <c:pt idx="1">
                  <c:v>24900.175999999999</c:v>
                </c:pt>
                <c:pt idx="2">
                  <c:v>25259.892</c:v>
                </c:pt>
                <c:pt idx="3">
                  <c:v>25396.165396</c:v>
                </c:pt>
                <c:pt idx="4">
                  <c:v>25891.961890999999</c:v>
                </c:pt>
                <c:pt idx="5">
                  <c:v>26226.06</c:v>
                </c:pt>
                <c:pt idx="6">
                  <c:v>26469.932000000001</c:v>
                </c:pt>
                <c:pt idx="7">
                  <c:v>26086.536</c:v>
                </c:pt>
                <c:pt idx="8">
                  <c:v>24490.651999999998</c:v>
                </c:pt>
                <c:pt idx="9">
                  <c:v>23172.276000000002</c:v>
                </c:pt>
                <c:pt idx="10">
                  <c:v>22001.124</c:v>
                </c:pt>
                <c:pt idx="11">
                  <c:v>21006.768</c:v>
                </c:pt>
                <c:pt idx="12">
                  <c:v>20000.436000000002</c:v>
                </c:pt>
                <c:pt idx="13">
                  <c:v>18595.651999999998</c:v>
                </c:pt>
                <c:pt idx="14">
                  <c:v>17528.214</c:v>
                </c:pt>
                <c:pt idx="15">
                  <c:v>16864.919000000002</c:v>
                </c:pt>
                <c:pt idx="16">
                  <c:v>16325.819</c:v>
                </c:pt>
                <c:pt idx="17">
                  <c:v>15812.547</c:v>
                </c:pt>
                <c:pt idx="18">
                  <c:v>14768.115</c:v>
                </c:pt>
              </c:numCache>
            </c:numRef>
          </c:val>
          <c:extLst>
            <c:ext xmlns:c16="http://schemas.microsoft.com/office/drawing/2014/chart" uri="{C3380CC4-5D6E-409C-BE32-E72D297353CC}">
              <c16:uniqueId val="{00000001-8C37-4344-88B1-69D8C95C97DF}"/>
            </c:ext>
          </c:extLst>
        </c:ser>
        <c:dLbls>
          <c:showLegendKey val="0"/>
          <c:showVal val="0"/>
          <c:showCatName val="0"/>
          <c:showSerName val="0"/>
          <c:showPercent val="0"/>
          <c:showBubbleSize val="0"/>
        </c:dLbls>
        <c:gapWidth val="219"/>
        <c:overlap val="-27"/>
        <c:axId val="221066720"/>
        <c:axId val="221067552"/>
      </c:barChart>
      <c:catAx>
        <c:axId val="221066720"/>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7552"/>
        <c:crosses val="autoZero"/>
        <c:auto val="1"/>
        <c:lblAlgn val="ctr"/>
        <c:lblOffset val="100"/>
        <c:noMultiLvlLbl val="0"/>
      </c:catAx>
      <c:valAx>
        <c:axId val="221067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a:t>
            </a:r>
            <a:r>
              <a:rPr lang="en-CA" baseline="0"/>
              <a:t> &amp; Net Income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INFO!$B$24</c:f>
              <c:strCache>
                <c:ptCount val="1"/>
                <c:pt idx="0">
                  <c:v>Net Income %</c:v>
                </c:pt>
              </c:strCache>
            </c:strRef>
          </c:tx>
          <c:spPr>
            <a:solidFill>
              <a:schemeClr val="accent1"/>
            </a:solidFill>
            <a:ln>
              <a:noFill/>
            </a:ln>
            <a:effectLst/>
          </c:spPr>
          <c:invertIfNegative val="0"/>
          <c:cat>
            <c:strRef>
              <c:extLst>
                <c:ext xmlns:c15="http://schemas.microsoft.com/office/drawing/2012/chart" uri="{02D57815-91ED-43cb-92C2-25804820EDAC}">
                  <c15:fullRef>
                    <c15:sqref>INFO!$G$13:$Y$13</c15:sqref>
                  </c15:fullRef>
                </c:ext>
              </c:extLst>
              <c:f>INFO!$H$13:$Y$13</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TTM</c:v>
                </c:pt>
              </c:strCache>
            </c:strRef>
          </c:cat>
          <c:val>
            <c:numRef>
              <c:extLst>
                <c:ext xmlns:c15="http://schemas.microsoft.com/office/drawing/2012/chart" uri="{02D57815-91ED-43cb-92C2-25804820EDAC}">
                  <c15:fullRef>
                    <c15:sqref>INFO!$H$24:$X$24</c15:sqref>
                  </c15:fullRef>
                </c:ext>
              </c:extLst>
              <c:f>INFO!$I$24:$X$24</c:f>
              <c:numCache>
                <c:formatCode>0%</c:formatCode>
                <c:ptCount val="16"/>
                <c:pt idx="0">
                  <c:v>0.38311874105865523</c:v>
                </c:pt>
                <c:pt idx="1">
                  <c:v>0.70355812991311539</c:v>
                </c:pt>
                <c:pt idx="2">
                  <c:v>0.70163934426229513</c:v>
                </c:pt>
                <c:pt idx="3">
                  <c:v>0.84985370727181897</c:v>
                </c:pt>
                <c:pt idx="4">
                  <c:v>0.60994522027621323</c:v>
                </c:pt>
                <c:pt idx="5">
                  <c:v>-0.11252486042220784</c:v>
                </c:pt>
                <c:pt idx="6">
                  <c:v>6.677106677106677E-2</c:v>
                </c:pt>
                <c:pt idx="7">
                  <c:v>0.35140470766894455</c:v>
                </c:pt>
                <c:pt idx="8">
                  <c:v>-0.14434206090571974</c:v>
                </c:pt>
                <c:pt idx="9">
                  <c:v>5.8309803664061986E-2</c:v>
                </c:pt>
                <c:pt idx="10">
                  <c:v>0.23122582780087278</c:v>
                </c:pt>
                <c:pt idx="11">
                  <c:v>-7.1811325191916811E-2</c:v>
                </c:pt>
                <c:pt idx="12">
                  <c:v>3.9000289561314606E-2</c:v>
                </c:pt>
                <c:pt idx="13">
                  <c:v>0.64916131055024295</c:v>
                </c:pt>
                <c:pt idx="14">
                  <c:v>5.4108576256865229E-2</c:v>
                </c:pt>
                <c:pt idx="15">
                  <c:v>-2.8135426790777834E-2</c:v>
                </c:pt>
              </c:numCache>
            </c:numRef>
          </c:val>
          <c:extLst>
            <c:ext xmlns:c16="http://schemas.microsoft.com/office/drawing/2014/chart" uri="{C3380CC4-5D6E-409C-BE32-E72D297353CC}">
              <c16:uniqueId val="{00000002-73FA-41CE-8D81-B4E5DF4C382C}"/>
            </c:ext>
          </c:extLst>
        </c:ser>
        <c:ser>
          <c:idx val="0"/>
          <c:order val="1"/>
          <c:tx>
            <c:strRef>
              <c:f>INFO!$B$22</c:f>
              <c:strCache>
                <c:ptCount val="1"/>
                <c:pt idx="0">
                  <c:v>Rev %</c:v>
                </c:pt>
              </c:strCache>
            </c:strRef>
          </c:tx>
          <c:spPr>
            <a:solidFill>
              <a:schemeClr val="accent1">
                <a:shade val="65000"/>
              </a:schemeClr>
            </a:solidFill>
            <a:ln>
              <a:noFill/>
            </a:ln>
            <a:effectLst/>
          </c:spPr>
          <c:invertIfNegative val="0"/>
          <c:cat>
            <c:strRef>
              <c:extLst>
                <c:ext xmlns:c15="http://schemas.microsoft.com/office/drawing/2012/chart" uri="{02D57815-91ED-43cb-92C2-25804820EDAC}">
                  <c15:fullRef>
                    <c15:sqref>INFO!$G$13:$Y$13</c15:sqref>
                  </c15:fullRef>
                </c:ext>
              </c:extLst>
              <c:f>INFO!$H$13:$Y$13</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TTM</c:v>
                </c:pt>
              </c:strCache>
            </c:strRef>
          </c:cat>
          <c:val>
            <c:numRef>
              <c:extLst>
                <c:ext xmlns:c15="http://schemas.microsoft.com/office/drawing/2012/chart" uri="{02D57815-91ED-43cb-92C2-25804820EDAC}">
                  <c15:fullRef>
                    <c15:sqref>INFO!$H$22:$X$22</c15:sqref>
                  </c15:fullRef>
                </c:ext>
              </c:extLst>
              <c:f>INFO!$I$22:$X$22</c:f>
              <c:numCache>
                <c:formatCode>0%</c:formatCode>
                <c:ptCount val="16"/>
                <c:pt idx="0">
                  <c:v>0.35295342830958926</c:v>
                </c:pt>
                <c:pt idx="1">
                  <c:v>0.31170910434434557</c:v>
                </c:pt>
                <c:pt idx="2">
                  <c:v>0.53099546980259604</c:v>
                </c:pt>
                <c:pt idx="3">
                  <c:v>0.65962437715599842</c:v>
                </c:pt>
                <c:pt idx="4">
                  <c:v>0.44581474193756987</c:v>
                </c:pt>
                <c:pt idx="5">
                  <c:v>9.202085516395328E-2</c:v>
                </c:pt>
                <c:pt idx="6">
                  <c:v>6.9539523725937621E-2</c:v>
                </c:pt>
                <c:pt idx="7">
                  <c:v>0.2785634180365984</c:v>
                </c:pt>
                <c:pt idx="8">
                  <c:v>-7.734206191301371E-2</c:v>
                </c:pt>
                <c:pt idx="9">
                  <c:v>6.3045181993980681E-2</c:v>
                </c:pt>
                <c:pt idx="10">
                  <c:v>0.15861957650261305</c:v>
                </c:pt>
                <c:pt idx="11">
                  <c:v>-2.0410775805267418E-2</c:v>
                </c:pt>
                <c:pt idx="12">
                  <c:v>5.5120803769784836E-2</c:v>
                </c:pt>
                <c:pt idx="13">
                  <c:v>0.33259384733074693</c:v>
                </c:pt>
                <c:pt idx="14">
                  <c:v>7.7937876041846058E-2</c:v>
                </c:pt>
                <c:pt idx="15">
                  <c:v>-2.8004605303199367E-2</c:v>
                </c:pt>
              </c:numCache>
            </c:numRef>
          </c:val>
          <c:extLst>
            <c:ext xmlns:c16="http://schemas.microsoft.com/office/drawing/2014/chart" uri="{C3380CC4-5D6E-409C-BE32-E72D297353CC}">
              <c16:uniqueId val="{00000003-73FA-41CE-8D81-B4E5DF4C382C}"/>
            </c:ext>
          </c:extLst>
        </c:ser>
        <c:dLbls>
          <c:showLegendKey val="0"/>
          <c:showVal val="0"/>
          <c:showCatName val="0"/>
          <c:showSerName val="0"/>
          <c:showPercent val="0"/>
          <c:showBubbleSize val="0"/>
        </c:dLbls>
        <c:gapWidth val="219"/>
        <c:overlap val="-27"/>
        <c:axId val="221066720"/>
        <c:axId val="221067552"/>
        <c:extLst>
          <c:ext xmlns:c15="http://schemas.microsoft.com/office/drawing/2012/chart" uri="{02D57815-91ED-43cb-92C2-25804820EDAC}">
            <c15:filteredBarSeries>
              <c15:ser>
                <c:idx val="2"/>
                <c:order val="2"/>
                <c:tx>
                  <c:strRef>
                    <c:extLst>
                      <c:ext uri="{02D57815-91ED-43cb-92C2-25804820EDAC}">
                        <c15:formulaRef>
                          <c15:sqref>INFO!$B$26</c15:sqref>
                        </c15:formulaRef>
                      </c:ext>
                    </c:extLst>
                    <c:strCache>
                      <c:ptCount val="1"/>
                      <c:pt idx="0">
                        <c:v>Free Cash Flow %</c:v>
                      </c:pt>
                    </c:strCache>
                  </c:strRef>
                </c:tx>
                <c:spPr>
                  <a:solidFill>
                    <a:schemeClr val="accent1">
                      <a:tint val="65000"/>
                    </a:schemeClr>
                  </a:solidFill>
                  <a:ln>
                    <a:noFill/>
                  </a:ln>
                  <a:effectLst/>
                </c:spPr>
                <c:invertIfNegative val="0"/>
                <c:cat>
                  <c:strRef>
                    <c:extLst>
                      <c:ext uri="{02D57815-91ED-43cb-92C2-25804820EDAC}">
                        <c15:fullRef>
                          <c15:sqref>INFO!$G$13:$Y$13</c15:sqref>
                        </c15:fullRef>
                        <c15:formulaRef>
                          <c15:sqref>INFO!$H$13:$Y$13</c15:sqref>
                        </c15:formulaRef>
                      </c:ext>
                    </c:extLst>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TTM</c:v>
                      </c:pt>
                    </c:strCache>
                  </c:strRef>
                </c:cat>
                <c:val>
                  <c:numRef>
                    <c:extLst>
                      <c:ext uri="{02D57815-91ED-43cb-92C2-25804820EDAC}">
                        <c15:fullRef>
                          <c15:sqref>INFO!$H$26:$X$26</c15:sqref>
                        </c15:fullRef>
                        <c15:formulaRef>
                          <c15:sqref>INFO!$I$26:$X$26</c15:sqref>
                        </c15:formulaRef>
                      </c:ext>
                    </c:extLst>
                    <c:numCache>
                      <c:formatCode>0%</c:formatCode>
                      <c:ptCount val="16"/>
                      <c:pt idx="0">
                        <c:v>0.87265834076717219</c:v>
                      </c:pt>
                      <c:pt idx="1">
                        <c:v>6.5380493033226156E-2</c:v>
                      </c:pt>
                      <c:pt idx="2">
                        <c:v>0.84149340487368651</c:v>
                      </c:pt>
                      <c:pt idx="3">
                        <c:v>0.82572538545586982</c:v>
                      </c:pt>
                      <c:pt idx="4">
                        <c:v>0.37826245968680389</c:v>
                      </c:pt>
                      <c:pt idx="5">
                        <c:v>7.5650118203309691E-2</c:v>
                      </c:pt>
                      <c:pt idx="6">
                        <c:v>0.11908499663601704</c:v>
                      </c:pt>
                      <c:pt idx="7">
                        <c:v>0.39835671342685369</c:v>
                      </c:pt>
                      <c:pt idx="8">
                        <c:v>-0.24499125798962423</c:v>
                      </c:pt>
                      <c:pt idx="9">
                        <c:v>-2.3783763263291763E-2</c:v>
                      </c:pt>
                      <c:pt idx="10">
                        <c:v>0.24676258992805755</c:v>
                      </c:pt>
                      <c:pt idx="11">
                        <c:v>-8.1486564464060135E-2</c:v>
                      </c:pt>
                      <c:pt idx="12">
                        <c:v>0.24567033414832926</c:v>
                      </c:pt>
                      <c:pt idx="13">
                        <c:v>0.26699379813262453</c:v>
                      </c:pt>
                      <c:pt idx="14">
                        <c:v>0.19891773261755941</c:v>
                      </c:pt>
                      <c:pt idx="15">
                        <c:v>-0.10641314393905404</c:v>
                      </c:pt>
                    </c:numCache>
                  </c:numRef>
                </c:val>
                <c:extLst>
                  <c:ext xmlns:c16="http://schemas.microsoft.com/office/drawing/2014/chart" uri="{C3380CC4-5D6E-409C-BE32-E72D297353CC}">
                    <c16:uniqueId val="{00000004-73FA-41CE-8D81-B4E5DF4C382C}"/>
                  </c:ext>
                </c:extLst>
              </c15:ser>
            </c15:filteredBarSeries>
          </c:ext>
        </c:extLst>
      </c:barChart>
      <c:catAx>
        <c:axId val="221066720"/>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21067552"/>
        <c:crosses val="autoZero"/>
        <c:auto val="1"/>
        <c:lblAlgn val="ctr"/>
        <c:lblOffset val="100"/>
        <c:noMultiLvlLbl val="0"/>
      </c:catAx>
      <c:valAx>
        <c:axId val="221067552"/>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FCF</a:t>
            </a:r>
            <a:endParaRPr lang="en-CA"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2"/>
          <c:order val="2"/>
          <c:tx>
            <c:strRef>
              <c:f>INFO!$B$26</c:f>
              <c:strCache>
                <c:ptCount val="1"/>
                <c:pt idx="0">
                  <c:v>Free Cash Flow %</c:v>
                </c:pt>
              </c:strCache>
              <c:extLst xmlns:c15="http://schemas.microsoft.com/office/drawing/2012/chart"/>
            </c:strRef>
          </c:tx>
          <c:spPr>
            <a:solidFill>
              <a:schemeClr val="accent1">
                <a:lumMod val="75000"/>
              </a:schemeClr>
            </a:solidFill>
            <a:ln>
              <a:noFill/>
            </a:ln>
            <a:effectLst/>
          </c:spPr>
          <c:invertIfNegative val="0"/>
          <c:cat>
            <c:strRef>
              <c:extLst>
                <c:ext xmlns:c15="http://schemas.microsoft.com/office/drawing/2012/chart" uri="{02D57815-91ED-43cb-92C2-25804820EDAC}">
                  <c15:fullRef>
                    <c15:sqref>INFO!$G$13:$Y$13</c15:sqref>
                  </c15:fullRef>
                </c:ext>
              </c:extLst>
              <c:f>INFO!$H$13:$Y$13</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TTM</c:v>
                </c:pt>
              </c:strCache>
            </c:strRef>
          </c:cat>
          <c:val>
            <c:numRef>
              <c:extLst>
                <c:ext xmlns:c15="http://schemas.microsoft.com/office/drawing/2012/chart" uri="{02D57815-91ED-43cb-92C2-25804820EDAC}">
                  <c15:fullRef>
                    <c15:sqref>INFO!$H$26:$X$26</c15:sqref>
                  </c15:fullRef>
                </c:ext>
              </c:extLst>
              <c:f>INFO!$I$26:$X$26</c:f>
              <c:numCache>
                <c:formatCode>0%</c:formatCode>
                <c:ptCount val="16"/>
                <c:pt idx="0">
                  <c:v>0.87265834076717219</c:v>
                </c:pt>
                <c:pt idx="1">
                  <c:v>6.5380493033226156E-2</c:v>
                </c:pt>
                <c:pt idx="2">
                  <c:v>0.84149340487368651</c:v>
                </c:pt>
                <c:pt idx="3">
                  <c:v>0.82572538545586982</c:v>
                </c:pt>
                <c:pt idx="4">
                  <c:v>0.37826245968680389</c:v>
                </c:pt>
                <c:pt idx="5">
                  <c:v>7.5650118203309691E-2</c:v>
                </c:pt>
                <c:pt idx="6">
                  <c:v>0.11908499663601704</c:v>
                </c:pt>
                <c:pt idx="7">
                  <c:v>0.39835671342685369</c:v>
                </c:pt>
                <c:pt idx="8">
                  <c:v>-0.24499125798962423</c:v>
                </c:pt>
                <c:pt idx="9">
                  <c:v>-2.3783763263291763E-2</c:v>
                </c:pt>
                <c:pt idx="10">
                  <c:v>0.24676258992805755</c:v>
                </c:pt>
                <c:pt idx="11">
                  <c:v>-8.1486564464060135E-2</c:v>
                </c:pt>
                <c:pt idx="12">
                  <c:v>0.24567033414832926</c:v>
                </c:pt>
                <c:pt idx="13">
                  <c:v>0.26699379813262453</c:v>
                </c:pt>
                <c:pt idx="14">
                  <c:v>0.19891773261755941</c:v>
                </c:pt>
                <c:pt idx="15">
                  <c:v>-0.10641314393905404</c:v>
                </c:pt>
              </c:numCache>
            </c:numRef>
          </c:val>
          <c:extLst>
            <c:ext xmlns:c16="http://schemas.microsoft.com/office/drawing/2014/chart" uri="{C3380CC4-5D6E-409C-BE32-E72D297353CC}">
              <c16:uniqueId val="{00000002-BFC7-46C0-B211-8E966637BF6B}"/>
            </c:ext>
          </c:extLst>
        </c:ser>
        <c:dLbls>
          <c:showLegendKey val="0"/>
          <c:showVal val="0"/>
          <c:showCatName val="0"/>
          <c:showSerName val="0"/>
          <c:showPercent val="0"/>
          <c:showBubbleSize val="0"/>
        </c:dLbls>
        <c:gapWidth val="219"/>
        <c:overlap val="-27"/>
        <c:axId val="221066720"/>
        <c:axId val="221067552"/>
        <c:extLst>
          <c:ext xmlns:c15="http://schemas.microsoft.com/office/drawing/2012/chart" uri="{02D57815-91ED-43cb-92C2-25804820EDAC}">
            <c15:filteredBarSeries>
              <c15:ser>
                <c:idx val="1"/>
                <c:order val="0"/>
                <c:tx>
                  <c:strRef>
                    <c:extLst>
                      <c:ext uri="{02D57815-91ED-43cb-92C2-25804820EDAC}">
                        <c15:formulaRef>
                          <c15:sqref>INFO!$B$24</c15:sqref>
                        </c15:formulaRef>
                      </c:ext>
                    </c:extLst>
                    <c:strCache>
                      <c:ptCount val="1"/>
                      <c:pt idx="0">
                        <c:v>Net Income %</c:v>
                      </c:pt>
                    </c:strCache>
                  </c:strRef>
                </c:tx>
                <c:spPr>
                  <a:solidFill>
                    <a:schemeClr val="accent1"/>
                  </a:solidFill>
                  <a:ln>
                    <a:noFill/>
                  </a:ln>
                  <a:effectLst/>
                </c:spPr>
                <c:invertIfNegative val="0"/>
                <c:cat>
                  <c:strRef>
                    <c:extLst>
                      <c:ext uri="{02D57815-91ED-43cb-92C2-25804820EDAC}">
                        <c15:fullRef>
                          <c15:sqref>INFO!$G$13:$Y$13</c15:sqref>
                        </c15:fullRef>
                        <c15:formulaRef>
                          <c15:sqref>INFO!$H$13:$Y$13</c15:sqref>
                        </c15:formulaRef>
                      </c:ext>
                    </c:extLst>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TTM</c:v>
                      </c:pt>
                    </c:strCache>
                  </c:strRef>
                </c:cat>
                <c:val>
                  <c:numRef>
                    <c:extLst>
                      <c:ext uri="{02D57815-91ED-43cb-92C2-25804820EDAC}">
                        <c15:fullRef>
                          <c15:sqref>INFO!$H$24:$X$24</c15:sqref>
                        </c15:fullRef>
                        <c15:formulaRef>
                          <c15:sqref>INFO!$I$24:$X$24</c15:sqref>
                        </c15:formulaRef>
                      </c:ext>
                    </c:extLst>
                    <c:numCache>
                      <c:formatCode>0%</c:formatCode>
                      <c:ptCount val="16"/>
                      <c:pt idx="0">
                        <c:v>0.38311874105865523</c:v>
                      </c:pt>
                      <c:pt idx="1">
                        <c:v>0.70355812991311539</c:v>
                      </c:pt>
                      <c:pt idx="2">
                        <c:v>0.70163934426229513</c:v>
                      </c:pt>
                      <c:pt idx="3">
                        <c:v>0.84985370727181897</c:v>
                      </c:pt>
                      <c:pt idx="4">
                        <c:v>0.60994522027621323</c:v>
                      </c:pt>
                      <c:pt idx="5">
                        <c:v>-0.11252486042220784</c:v>
                      </c:pt>
                      <c:pt idx="6">
                        <c:v>6.677106677106677E-2</c:v>
                      </c:pt>
                      <c:pt idx="7">
                        <c:v>0.35140470766894455</c:v>
                      </c:pt>
                      <c:pt idx="8">
                        <c:v>-0.14434206090571974</c:v>
                      </c:pt>
                      <c:pt idx="9">
                        <c:v>5.8309803664061986E-2</c:v>
                      </c:pt>
                      <c:pt idx="10">
                        <c:v>0.23122582780087278</c:v>
                      </c:pt>
                      <c:pt idx="11">
                        <c:v>-7.1811325191916811E-2</c:v>
                      </c:pt>
                      <c:pt idx="12">
                        <c:v>3.9000289561314606E-2</c:v>
                      </c:pt>
                      <c:pt idx="13">
                        <c:v>0.64916131055024295</c:v>
                      </c:pt>
                      <c:pt idx="14">
                        <c:v>5.4108576256865229E-2</c:v>
                      </c:pt>
                      <c:pt idx="15">
                        <c:v>-2.8135426790777834E-2</c:v>
                      </c:pt>
                    </c:numCache>
                  </c:numRef>
                </c:val>
                <c:extLst>
                  <c:ext xmlns:c16="http://schemas.microsoft.com/office/drawing/2014/chart" uri="{C3380CC4-5D6E-409C-BE32-E72D297353CC}">
                    <c16:uniqueId val="{00000000-BFC7-46C0-B211-8E966637BF6B}"/>
                  </c:ext>
                </c:extLst>
              </c15:ser>
            </c15:filteredBarSeries>
            <c15:filteredBarSeries>
              <c15:ser>
                <c:idx val="0"/>
                <c:order val="1"/>
                <c:tx>
                  <c:strRef>
                    <c:extLst xmlns:c15="http://schemas.microsoft.com/office/drawing/2012/chart">
                      <c:ext xmlns:c15="http://schemas.microsoft.com/office/drawing/2012/chart" uri="{02D57815-91ED-43cb-92C2-25804820EDAC}">
                        <c15:formulaRef>
                          <c15:sqref>INFO!$B$22</c15:sqref>
                        </c15:formulaRef>
                      </c:ext>
                    </c:extLst>
                    <c:strCache>
                      <c:ptCount val="1"/>
                      <c:pt idx="0">
                        <c:v>Rev %</c:v>
                      </c:pt>
                    </c:strCache>
                  </c:strRef>
                </c:tx>
                <c:spPr>
                  <a:solidFill>
                    <a:schemeClr val="accent1">
                      <a:shade val="65000"/>
                    </a:schemeClr>
                  </a:solidFill>
                  <a:ln>
                    <a:noFill/>
                  </a:ln>
                  <a:effectLst/>
                </c:spPr>
                <c:invertIfNegative val="0"/>
                <c:cat>
                  <c:strRef>
                    <c:extLst>
                      <c:ext xmlns:c15="http://schemas.microsoft.com/office/drawing/2012/chart" uri="{02D57815-91ED-43cb-92C2-25804820EDAC}">
                        <c15:fullRef>
                          <c15:sqref>INFO!$G$13:$Y$13</c15:sqref>
                        </c15:fullRef>
                        <c15:formulaRef>
                          <c15:sqref>INFO!$H$13:$Y$13</c15:sqref>
                        </c15:formulaRef>
                      </c:ext>
                    </c:extLst>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TTM</c:v>
                      </c:pt>
                    </c:strCache>
                  </c:strRef>
                </c:cat>
                <c:val>
                  <c:numRef>
                    <c:extLst>
                      <c:ext xmlns:c15="http://schemas.microsoft.com/office/drawing/2012/chart" uri="{02D57815-91ED-43cb-92C2-25804820EDAC}">
                        <c15:fullRef>
                          <c15:sqref>INFO!$H$22:$X$22</c15:sqref>
                        </c15:fullRef>
                        <c15:formulaRef>
                          <c15:sqref>INFO!$I$22:$X$22</c15:sqref>
                        </c15:formulaRef>
                      </c:ext>
                    </c:extLst>
                    <c:numCache>
                      <c:formatCode>0%</c:formatCode>
                      <c:ptCount val="16"/>
                      <c:pt idx="0">
                        <c:v>0.35295342830958926</c:v>
                      </c:pt>
                      <c:pt idx="1">
                        <c:v>0.31170910434434557</c:v>
                      </c:pt>
                      <c:pt idx="2">
                        <c:v>0.53099546980259604</c:v>
                      </c:pt>
                      <c:pt idx="3">
                        <c:v>0.65962437715599842</c:v>
                      </c:pt>
                      <c:pt idx="4">
                        <c:v>0.44581474193756987</c:v>
                      </c:pt>
                      <c:pt idx="5">
                        <c:v>9.202085516395328E-2</c:v>
                      </c:pt>
                      <c:pt idx="6">
                        <c:v>6.9539523725937621E-2</c:v>
                      </c:pt>
                      <c:pt idx="7">
                        <c:v>0.2785634180365984</c:v>
                      </c:pt>
                      <c:pt idx="8">
                        <c:v>-7.734206191301371E-2</c:v>
                      </c:pt>
                      <c:pt idx="9">
                        <c:v>6.3045181993980681E-2</c:v>
                      </c:pt>
                      <c:pt idx="10">
                        <c:v>0.15861957650261305</c:v>
                      </c:pt>
                      <c:pt idx="11">
                        <c:v>-2.0410775805267418E-2</c:v>
                      </c:pt>
                      <c:pt idx="12">
                        <c:v>5.5120803769784836E-2</c:v>
                      </c:pt>
                      <c:pt idx="13">
                        <c:v>0.33259384733074693</c:v>
                      </c:pt>
                      <c:pt idx="14">
                        <c:v>7.7937876041846058E-2</c:v>
                      </c:pt>
                      <c:pt idx="15">
                        <c:v>-2.8004605303199367E-2</c:v>
                      </c:pt>
                    </c:numCache>
                  </c:numRef>
                </c:val>
                <c:extLst xmlns:c15="http://schemas.microsoft.com/office/drawing/2012/chart">
                  <c:ext xmlns:c16="http://schemas.microsoft.com/office/drawing/2014/chart" uri="{C3380CC4-5D6E-409C-BE32-E72D297353CC}">
                    <c16:uniqueId val="{00000001-BFC7-46C0-B211-8E966637BF6B}"/>
                  </c:ext>
                </c:extLst>
              </c15:ser>
            </c15:filteredBarSeries>
          </c:ext>
        </c:extLst>
      </c:barChart>
      <c:catAx>
        <c:axId val="221066720"/>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21067552"/>
        <c:crosses val="autoZero"/>
        <c:auto val="1"/>
        <c:lblAlgn val="ctr"/>
        <c:lblOffset val="100"/>
        <c:noMultiLvlLbl val="0"/>
      </c:catAx>
      <c:valAx>
        <c:axId val="221067552"/>
        <c:scaling>
          <c:orientation val="minMax"/>
          <c:min val="-0.3000000000000000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CA"/>
              <a:t>Share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DCF!$Q$32:$T$32</c:f>
              <c:strCache>
                <c:ptCount val="4"/>
                <c:pt idx="0">
                  <c:v>Switches</c:v>
                </c:pt>
                <c:pt idx="1">
                  <c:v>Conservative case</c:v>
                </c:pt>
                <c:pt idx="2">
                  <c:v>Base case</c:v>
                </c:pt>
                <c:pt idx="3">
                  <c:v>Optimistic case</c:v>
                </c:pt>
              </c:strCache>
            </c:strRef>
          </c:cat>
          <c:val>
            <c:numRef>
              <c:f>DCF!$Q$33:$T$33</c:f>
              <c:numCache>
                <c:formatCode>0.00</c:formatCode>
                <c:ptCount val="4"/>
                <c:pt idx="0">
                  <c:v>173.48113817908779</c:v>
                </c:pt>
                <c:pt idx="1">
                  <c:v>132.91787258429247</c:v>
                </c:pt>
                <c:pt idx="2">
                  <c:v>200.36150642579651</c:v>
                </c:pt>
                <c:pt idx="3">
                  <c:v>318.58735982285975</c:v>
                </c:pt>
              </c:numCache>
            </c:numRef>
          </c:val>
          <c:extLst>
            <c:ext xmlns:c16="http://schemas.microsoft.com/office/drawing/2014/chart" uri="{C3380CC4-5D6E-409C-BE32-E72D297353CC}">
              <c16:uniqueId val="{00000000-8732-423D-B3F6-AF3077FD35E5}"/>
            </c:ext>
          </c:extLst>
        </c:ser>
        <c:dLbls>
          <c:showLegendKey val="0"/>
          <c:showVal val="0"/>
          <c:showCatName val="0"/>
          <c:showSerName val="0"/>
          <c:showPercent val="0"/>
          <c:showBubbleSize val="0"/>
        </c:dLbls>
        <c:gapWidth val="219"/>
        <c:overlap val="-27"/>
        <c:axId val="175184239"/>
        <c:axId val="175187983"/>
      </c:barChart>
      <c:lineChart>
        <c:grouping val="standard"/>
        <c:varyColors val="0"/>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cat>
            <c:strRef>
              <c:f>DCF!$Q$32:$T$32</c:f>
              <c:strCache>
                <c:ptCount val="4"/>
                <c:pt idx="0">
                  <c:v>Switches</c:v>
                </c:pt>
                <c:pt idx="1">
                  <c:v>Conservative case</c:v>
                </c:pt>
                <c:pt idx="2">
                  <c:v>Base case</c:v>
                </c:pt>
                <c:pt idx="3">
                  <c:v>Optimistic case</c:v>
                </c:pt>
              </c:strCache>
            </c:strRef>
          </c:cat>
          <c:val>
            <c:numRef>
              <c:f>DCF!$Q$34:$T$34</c:f>
              <c:numCache>
                <c:formatCode>General</c:formatCode>
                <c:ptCount val="4"/>
                <c:pt idx="0">
                  <c:v>327.5</c:v>
                </c:pt>
                <c:pt idx="1">
                  <c:v>327.5</c:v>
                </c:pt>
                <c:pt idx="2">
                  <c:v>327.5</c:v>
                </c:pt>
                <c:pt idx="3">
                  <c:v>327.5</c:v>
                </c:pt>
              </c:numCache>
            </c:numRef>
          </c:val>
          <c:smooth val="0"/>
          <c:extLst>
            <c:ext xmlns:c16="http://schemas.microsoft.com/office/drawing/2014/chart" uri="{C3380CC4-5D6E-409C-BE32-E72D297353CC}">
              <c16:uniqueId val="{00000001-8732-423D-B3F6-AF3077FD35E5}"/>
            </c:ext>
          </c:extLst>
        </c:ser>
        <c:dLbls>
          <c:showLegendKey val="0"/>
          <c:showVal val="0"/>
          <c:showCatName val="0"/>
          <c:showSerName val="0"/>
          <c:showPercent val="0"/>
          <c:showBubbleSize val="0"/>
        </c:dLbls>
        <c:marker val="1"/>
        <c:smooth val="0"/>
        <c:axId val="175184239"/>
        <c:axId val="175187983"/>
      </c:lineChart>
      <c:catAx>
        <c:axId val="1751842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7983"/>
        <c:crosses val="autoZero"/>
        <c:auto val="1"/>
        <c:lblAlgn val="ctr"/>
        <c:lblOffset val="100"/>
        <c:noMultiLvlLbl val="0"/>
      </c:catAx>
      <c:valAx>
        <c:axId val="175187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8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CA" sz="1200"/>
              <a:t>Stock Price 2013-2022</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Data!$B$6:$B$1262</c:f>
              <c:strCache>
                <c:ptCount val="1257"/>
                <c:pt idx="0">
                  <c:v>2026-07-15</c:v>
                </c:pt>
                <c:pt idx="1">
                  <c:v>2026-07-14</c:v>
                </c:pt>
                <c:pt idx="2">
                  <c:v>2026-07-13</c:v>
                </c:pt>
                <c:pt idx="3">
                  <c:v>2026-07-10</c:v>
                </c:pt>
                <c:pt idx="4">
                  <c:v>2026-07-09</c:v>
                </c:pt>
                <c:pt idx="5">
                  <c:v>2026-07-08</c:v>
                </c:pt>
                <c:pt idx="6">
                  <c:v>2026-07-07</c:v>
                </c:pt>
                <c:pt idx="7">
                  <c:v>2026-07-06</c:v>
                </c:pt>
                <c:pt idx="8">
                  <c:v>2026-07-02</c:v>
                </c:pt>
                <c:pt idx="9">
                  <c:v>2026-07-01</c:v>
                </c:pt>
                <c:pt idx="10">
                  <c:v>2026-06-30</c:v>
                </c:pt>
                <c:pt idx="11">
                  <c:v>2026-06-29</c:v>
                </c:pt>
                <c:pt idx="12">
                  <c:v>2026-06-26</c:v>
                </c:pt>
                <c:pt idx="13">
                  <c:v>2026-06-25</c:v>
                </c:pt>
                <c:pt idx="14">
                  <c:v>2026-06-24</c:v>
                </c:pt>
                <c:pt idx="15">
                  <c:v>2026-06-23</c:v>
                </c:pt>
                <c:pt idx="16">
                  <c:v>2026-06-22</c:v>
                </c:pt>
                <c:pt idx="17">
                  <c:v>2026-06-18</c:v>
                </c:pt>
                <c:pt idx="18">
                  <c:v>2026-06-17</c:v>
                </c:pt>
                <c:pt idx="19">
                  <c:v>2026-06-16</c:v>
                </c:pt>
                <c:pt idx="20">
                  <c:v>2026-06-15</c:v>
                </c:pt>
                <c:pt idx="21">
                  <c:v>2026-06-12</c:v>
                </c:pt>
                <c:pt idx="22">
                  <c:v>2026-06-11</c:v>
                </c:pt>
                <c:pt idx="23">
                  <c:v>2026-06-10</c:v>
                </c:pt>
                <c:pt idx="24">
                  <c:v>2026-06-09</c:v>
                </c:pt>
                <c:pt idx="25">
                  <c:v>2026-06-08</c:v>
                </c:pt>
                <c:pt idx="26">
                  <c:v>2026-06-05</c:v>
                </c:pt>
                <c:pt idx="27">
                  <c:v>2026-06-04</c:v>
                </c:pt>
                <c:pt idx="28">
                  <c:v>2026-06-03</c:v>
                </c:pt>
                <c:pt idx="29">
                  <c:v>2026-06-02</c:v>
                </c:pt>
                <c:pt idx="30">
                  <c:v>2026-06-01</c:v>
                </c:pt>
                <c:pt idx="31">
                  <c:v>2026-05-29</c:v>
                </c:pt>
                <c:pt idx="32">
                  <c:v>2026-05-28</c:v>
                </c:pt>
                <c:pt idx="33">
                  <c:v>2026-05-27</c:v>
                </c:pt>
                <c:pt idx="34">
                  <c:v>2026-05-26</c:v>
                </c:pt>
                <c:pt idx="35">
                  <c:v>2026-05-22</c:v>
                </c:pt>
                <c:pt idx="36">
                  <c:v>2026-05-21</c:v>
                </c:pt>
                <c:pt idx="37">
                  <c:v>2026-05-20</c:v>
                </c:pt>
                <c:pt idx="38">
                  <c:v>2026-05-19</c:v>
                </c:pt>
                <c:pt idx="39">
                  <c:v>2026-05-18</c:v>
                </c:pt>
                <c:pt idx="40">
                  <c:v>2026-05-15</c:v>
                </c:pt>
                <c:pt idx="41">
                  <c:v>2026-05-14</c:v>
                </c:pt>
                <c:pt idx="42">
                  <c:v>2026-05-13</c:v>
                </c:pt>
                <c:pt idx="43">
                  <c:v>2026-05-12</c:v>
                </c:pt>
                <c:pt idx="44">
                  <c:v>2026-05-11</c:v>
                </c:pt>
                <c:pt idx="45">
                  <c:v>2026-05-08</c:v>
                </c:pt>
                <c:pt idx="46">
                  <c:v>2026-05-07</c:v>
                </c:pt>
                <c:pt idx="47">
                  <c:v>2026-05-06</c:v>
                </c:pt>
                <c:pt idx="48">
                  <c:v>2026-05-05</c:v>
                </c:pt>
                <c:pt idx="49">
                  <c:v>2026-05-04</c:v>
                </c:pt>
                <c:pt idx="50">
                  <c:v>2026-05-01</c:v>
                </c:pt>
                <c:pt idx="51">
                  <c:v>2026-04-30</c:v>
                </c:pt>
                <c:pt idx="52">
                  <c:v>2026-04-29</c:v>
                </c:pt>
                <c:pt idx="53">
                  <c:v>2026-04-28</c:v>
                </c:pt>
                <c:pt idx="54">
                  <c:v>2026-04-27</c:v>
                </c:pt>
                <c:pt idx="55">
                  <c:v>2026-04-24</c:v>
                </c:pt>
                <c:pt idx="56">
                  <c:v>2026-04-23</c:v>
                </c:pt>
                <c:pt idx="57">
                  <c:v>2026-04-22</c:v>
                </c:pt>
                <c:pt idx="58">
                  <c:v>2026-04-21</c:v>
                </c:pt>
                <c:pt idx="59">
                  <c:v>2026-04-20</c:v>
                </c:pt>
                <c:pt idx="60">
                  <c:v>2026-04-17</c:v>
                </c:pt>
                <c:pt idx="61">
                  <c:v>2026-04-16</c:v>
                </c:pt>
                <c:pt idx="62">
                  <c:v>2026-04-15</c:v>
                </c:pt>
                <c:pt idx="63">
                  <c:v>2026-04-14</c:v>
                </c:pt>
                <c:pt idx="64">
                  <c:v>2026-04-13</c:v>
                </c:pt>
                <c:pt idx="65">
                  <c:v>2026-04-10</c:v>
                </c:pt>
                <c:pt idx="66">
                  <c:v>2026-04-09</c:v>
                </c:pt>
                <c:pt idx="67">
                  <c:v>2026-04-08</c:v>
                </c:pt>
                <c:pt idx="68">
                  <c:v>2026-04-07</c:v>
                </c:pt>
                <c:pt idx="69">
                  <c:v>2026-04-06</c:v>
                </c:pt>
                <c:pt idx="70">
                  <c:v>2026-04-02</c:v>
                </c:pt>
                <c:pt idx="71">
                  <c:v>2026-04-01</c:v>
                </c:pt>
                <c:pt idx="72">
                  <c:v>2026-03-31</c:v>
                </c:pt>
                <c:pt idx="73">
                  <c:v>2026-03-30</c:v>
                </c:pt>
                <c:pt idx="74">
                  <c:v>2026-03-27</c:v>
                </c:pt>
                <c:pt idx="75">
                  <c:v>2026-03-26</c:v>
                </c:pt>
                <c:pt idx="76">
                  <c:v>2026-03-25</c:v>
                </c:pt>
                <c:pt idx="77">
                  <c:v>2026-03-24</c:v>
                </c:pt>
                <c:pt idx="78">
                  <c:v>2026-03-23</c:v>
                </c:pt>
                <c:pt idx="79">
                  <c:v>2026-03-20</c:v>
                </c:pt>
                <c:pt idx="80">
                  <c:v>2026-03-19</c:v>
                </c:pt>
                <c:pt idx="81">
                  <c:v>2026-03-18</c:v>
                </c:pt>
                <c:pt idx="82">
                  <c:v>2026-03-17</c:v>
                </c:pt>
                <c:pt idx="83">
                  <c:v>2026-03-16</c:v>
                </c:pt>
                <c:pt idx="84">
                  <c:v>2026-03-13</c:v>
                </c:pt>
                <c:pt idx="85">
                  <c:v>2026-03-12</c:v>
                </c:pt>
                <c:pt idx="86">
                  <c:v>2026-03-11</c:v>
                </c:pt>
                <c:pt idx="87">
                  <c:v>2026-03-10</c:v>
                </c:pt>
                <c:pt idx="88">
                  <c:v>2026-03-09</c:v>
                </c:pt>
                <c:pt idx="89">
                  <c:v>2026-03-06</c:v>
                </c:pt>
                <c:pt idx="90">
                  <c:v>2026-03-05</c:v>
                </c:pt>
                <c:pt idx="91">
                  <c:v>2026-03-04</c:v>
                </c:pt>
                <c:pt idx="92">
                  <c:v>2026-03-03</c:v>
                </c:pt>
                <c:pt idx="93">
                  <c:v>2026-03-02</c:v>
                </c:pt>
                <c:pt idx="94">
                  <c:v>2026-02-27</c:v>
                </c:pt>
                <c:pt idx="95">
                  <c:v>2026-02-26</c:v>
                </c:pt>
                <c:pt idx="96">
                  <c:v>2026-02-25</c:v>
                </c:pt>
                <c:pt idx="97">
                  <c:v>2026-02-24</c:v>
                </c:pt>
                <c:pt idx="98">
                  <c:v>2026-02-23</c:v>
                </c:pt>
                <c:pt idx="99">
                  <c:v>2026-02-20</c:v>
                </c:pt>
                <c:pt idx="100">
                  <c:v>2026-02-19</c:v>
                </c:pt>
                <c:pt idx="101">
                  <c:v>2026-02-18</c:v>
                </c:pt>
                <c:pt idx="102">
                  <c:v>2026-02-17</c:v>
                </c:pt>
                <c:pt idx="103">
                  <c:v>2026-02-13</c:v>
                </c:pt>
                <c:pt idx="104">
                  <c:v>2026-02-12</c:v>
                </c:pt>
                <c:pt idx="105">
                  <c:v>2026-02-11</c:v>
                </c:pt>
                <c:pt idx="106">
                  <c:v>2026-02-10</c:v>
                </c:pt>
                <c:pt idx="107">
                  <c:v>2026-02-09</c:v>
                </c:pt>
                <c:pt idx="108">
                  <c:v>2026-02-06</c:v>
                </c:pt>
                <c:pt idx="109">
                  <c:v>2026-02-05</c:v>
                </c:pt>
                <c:pt idx="110">
                  <c:v>2026-02-04</c:v>
                </c:pt>
                <c:pt idx="111">
                  <c:v>2026-02-03</c:v>
                </c:pt>
                <c:pt idx="112">
                  <c:v>2026-02-02</c:v>
                </c:pt>
                <c:pt idx="113">
                  <c:v>2026-01-30</c:v>
                </c:pt>
                <c:pt idx="114">
                  <c:v>2026-01-29</c:v>
                </c:pt>
                <c:pt idx="115">
                  <c:v>2026-01-28</c:v>
                </c:pt>
                <c:pt idx="116">
                  <c:v>2026-01-27</c:v>
                </c:pt>
                <c:pt idx="117">
                  <c:v>2026-01-26</c:v>
                </c:pt>
                <c:pt idx="118">
                  <c:v>2026-01-23</c:v>
                </c:pt>
                <c:pt idx="119">
                  <c:v>2026-01-22</c:v>
                </c:pt>
                <c:pt idx="120">
                  <c:v>2026-01-21</c:v>
                </c:pt>
                <c:pt idx="121">
                  <c:v>2026-01-20</c:v>
                </c:pt>
                <c:pt idx="122">
                  <c:v>2026-01-16</c:v>
                </c:pt>
                <c:pt idx="123">
                  <c:v>2026-01-15</c:v>
                </c:pt>
                <c:pt idx="124">
                  <c:v>2026-01-14</c:v>
                </c:pt>
                <c:pt idx="125">
                  <c:v>2026-01-13</c:v>
                </c:pt>
                <c:pt idx="126">
                  <c:v>2026-01-12</c:v>
                </c:pt>
                <c:pt idx="127">
                  <c:v>2026-01-09</c:v>
                </c:pt>
                <c:pt idx="128">
                  <c:v>2026-01-08</c:v>
                </c:pt>
                <c:pt idx="129">
                  <c:v>2026-01-07</c:v>
                </c:pt>
                <c:pt idx="130">
                  <c:v>2026-01-06</c:v>
                </c:pt>
                <c:pt idx="131">
                  <c:v>2026-01-05</c:v>
                </c:pt>
                <c:pt idx="132">
                  <c:v>2026-01-02</c:v>
                </c:pt>
                <c:pt idx="133">
                  <c:v>2025-12-31</c:v>
                </c:pt>
                <c:pt idx="134">
                  <c:v>2025-12-30</c:v>
                </c:pt>
                <c:pt idx="135">
                  <c:v>2025-12-29</c:v>
                </c:pt>
                <c:pt idx="136">
                  <c:v>2025-12-26</c:v>
                </c:pt>
                <c:pt idx="137">
                  <c:v>2025-12-24</c:v>
                </c:pt>
                <c:pt idx="138">
                  <c:v>2025-12-23</c:v>
                </c:pt>
                <c:pt idx="139">
                  <c:v>2025-12-22</c:v>
                </c:pt>
                <c:pt idx="140">
                  <c:v>2025-12-19</c:v>
                </c:pt>
                <c:pt idx="141">
                  <c:v>2025-12-18</c:v>
                </c:pt>
                <c:pt idx="142">
                  <c:v>2025-12-17</c:v>
                </c:pt>
                <c:pt idx="143">
                  <c:v>2025-12-16</c:v>
                </c:pt>
                <c:pt idx="144">
                  <c:v>2025-12-15</c:v>
                </c:pt>
                <c:pt idx="145">
                  <c:v>2025-12-12</c:v>
                </c:pt>
                <c:pt idx="146">
                  <c:v>2025-12-11</c:v>
                </c:pt>
                <c:pt idx="147">
                  <c:v>2025-12-10</c:v>
                </c:pt>
                <c:pt idx="148">
                  <c:v>2025-12-09</c:v>
                </c:pt>
                <c:pt idx="149">
                  <c:v>2025-12-08</c:v>
                </c:pt>
                <c:pt idx="150">
                  <c:v>2025-12-05</c:v>
                </c:pt>
                <c:pt idx="151">
                  <c:v>2025-12-04</c:v>
                </c:pt>
                <c:pt idx="152">
                  <c:v>2025-12-03</c:v>
                </c:pt>
                <c:pt idx="153">
                  <c:v>2025-12-02</c:v>
                </c:pt>
                <c:pt idx="154">
                  <c:v>2025-12-01</c:v>
                </c:pt>
                <c:pt idx="155">
                  <c:v>2025-11-28</c:v>
                </c:pt>
                <c:pt idx="156">
                  <c:v>2025-11-26</c:v>
                </c:pt>
                <c:pt idx="157">
                  <c:v>2025-11-25</c:v>
                </c:pt>
                <c:pt idx="158">
                  <c:v>2025-11-24</c:v>
                </c:pt>
                <c:pt idx="159">
                  <c:v>2025-11-21</c:v>
                </c:pt>
                <c:pt idx="160">
                  <c:v>2025-11-20</c:v>
                </c:pt>
                <c:pt idx="161">
                  <c:v>2025-11-19</c:v>
                </c:pt>
                <c:pt idx="162">
                  <c:v>2025-11-18</c:v>
                </c:pt>
                <c:pt idx="163">
                  <c:v>2025-11-17</c:v>
                </c:pt>
                <c:pt idx="164">
                  <c:v>2025-11-14</c:v>
                </c:pt>
                <c:pt idx="165">
                  <c:v>2025-11-13</c:v>
                </c:pt>
                <c:pt idx="166">
                  <c:v>2025-11-12</c:v>
                </c:pt>
                <c:pt idx="167">
                  <c:v>2025-11-11</c:v>
                </c:pt>
                <c:pt idx="168">
                  <c:v>2025-11-10</c:v>
                </c:pt>
                <c:pt idx="169">
                  <c:v>2025-11-07</c:v>
                </c:pt>
                <c:pt idx="170">
                  <c:v>2025-11-06</c:v>
                </c:pt>
                <c:pt idx="171">
                  <c:v>2025-11-05</c:v>
                </c:pt>
                <c:pt idx="172">
                  <c:v>2025-11-04</c:v>
                </c:pt>
                <c:pt idx="173">
                  <c:v>2025-11-03</c:v>
                </c:pt>
                <c:pt idx="174">
                  <c:v>2025-10-31</c:v>
                </c:pt>
                <c:pt idx="175">
                  <c:v>2025-10-30</c:v>
                </c:pt>
                <c:pt idx="176">
                  <c:v>2025-10-29</c:v>
                </c:pt>
                <c:pt idx="177">
                  <c:v>2025-10-28</c:v>
                </c:pt>
                <c:pt idx="178">
                  <c:v>2025-10-27</c:v>
                </c:pt>
                <c:pt idx="179">
                  <c:v>2025-10-24</c:v>
                </c:pt>
                <c:pt idx="180">
                  <c:v>2025-10-23</c:v>
                </c:pt>
                <c:pt idx="181">
                  <c:v>2025-10-22</c:v>
                </c:pt>
                <c:pt idx="182">
                  <c:v>2025-10-21</c:v>
                </c:pt>
                <c:pt idx="183">
                  <c:v>2025-10-20</c:v>
                </c:pt>
                <c:pt idx="184">
                  <c:v>2025-10-17</c:v>
                </c:pt>
                <c:pt idx="185">
                  <c:v>2025-10-16</c:v>
                </c:pt>
                <c:pt idx="186">
                  <c:v>2025-10-15</c:v>
                </c:pt>
                <c:pt idx="187">
                  <c:v>2025-10-14</c:v>
                </c:pt>
                <c:pt idx="188">
                  <c:v>2025-10-13</c:v>
                </c:pt>
                <c:pt idx="189">
                  <c:v>2025-10-10</c:v>
                </c:pt>
                <c:pt idx="190">
                  <c:v>2025-10-09</c:v>
                </c:pt>
                <c:pt idx="191">
                  <c:v>2025-10-08</c:v>
                </c:pt>
                <c:pt idx="192">
                  <c:v>2025-10-07</c:v>
                </c:pt>
                <c:pt idx="193">
                  <c:v>2025-10-06</c:v>
                </c:pt>
                <c:pt idx="194">
                  <c:v>2025-10-03</c:v>
                </c:pt>
                <c:pt idx="195">
                  <c:v>2025-10-02</c:v>
                </c:pt>
                <c:pt idx="196">
                  <c:v>2025-10-01</c:v>
                </c:pt>
                <c:pt idx="197">
                  <c:v>2025-09-30</c:v>
                </c:pt>
                <c:pt idx="198">
                  <c:v>2025-09-29</c:v>
                </c:pt>
                <c:pt idx="199">
                  <c:v>2025-09-26</c:v>
                </c:pt>
                <c:pt idx="200">
                  <c:v>2025-09-25</c:v>
                </c:pt>
                <c:pt idx="201">
                  <c:v>2025-09-24</c:v>
                </c:pt>
                <c:pt idx="202">
                  <c:v>2025-09-23</c:v>
                </c:pt>
                <c:pt idx="203">
                  <c:v>2025-09-22</c:v>
                </c:pt>
                <c:pt idx="204">
                  <c:v>2025-09-19</c:v>
                </c:pt>
                <c:pt idx="205">
                  <c:v>2025-09-18</c:v>
                </c:pt>
                <c:pt idx="206">
                  <c:v>2025-09-17</c:v>
                </c:pt>
                <c:pt idx="207">
                  <c:v>2025-09-16</c:v>
                </c:pt>
                <c:pt idx="208">
                  <c:v>2025-09-15</c:v>
                </c:pt>
                <c:pt idx="209">
                  <c:v>2025-09-12</c:v>
                </c:pt>
                <c:pt idx="210">
                  <c:v>2025-09-11</c:v>
                </c:pt>
                <c:pt idx="211">
                  <c:v>2025-09-10</c:v>
                </c:pt>
                <c:pt idx="212">
                  <c:v>2025-09-09</c:v>
                </c:pt>
                <c:pt idx="213">
                  <c:v>2025-09-08</c:v>
                </c:pt>
                <c:pt idx="214">
                  <c:v>2025-09-05</c:v>
                </c:pt>
                <c:pt idx="215">
                  <c:v>2025-09-04</c:v>
                </c:pt>
                <c:pt idx="216">
                  <c:v>2025-09-03</c:v>
                </c:pt>
                <c:pt idx="217">
                  <c:v>2025-09-02</c:v>
                </c:pt>
                <c:pt idx="218">
                  <c:v>2025-08-29</c:v>
                </c:pt>
                <c:pt idx="219">
                  <c:v>2025-08-28</c:v>
                </c:pt>
                <c:pt idx="220">
                  <c:v>2025-08-27</c:v>
                </c:pt>
                <c:pt idx="221">
                  <c:v>2025-08-26</c:v>
                </c:pt>
                <c:pt idx="222">
                  <c:v>2025-08-25</c:v>
                </c:pt>
                <c:pt idx="223">
                  <c:v>2025-08-22</c:v>
                </c:pt>
                <c:pt idx="224">
                  <c:v>2025-08-21</c:v>
                </c:pt>
                <c:pt idx="225">
                  <c:v>2025-08-20</c:v>
                </c:pt>
                <c:pt idx="226">
                  <c:v>2025-08-19</c:v>
                </c:pt>
                <c:pt idx="227">
                  <c:v>2025-08-18</c:v>
                </c:pt>
                <c:pt idx="228">
                  <c:v>2025-08-15</c:v>
                </c:pt>
                <c:pt idx="229">
                  <c:v>2025-08-14</c:v>
                </c:pt>
                <c:pt idx="230">
                  <c:v>2025-08-13</c:v>
                </c:pt>
                <c:pt idx="231">
                  <c:v>2025-08-12</c:v>
                </c:pt>
                <c:pt idx="232">
                  <c:v>2025-08-11</c:v>
                </c:pt>
                <c:pt idx="233">
                  <c:v>2025-08-08</c:v>
                </c:pt>
                <c:pt idx="234">
                  <c:v>2025-08-07</c:v>
                </c:pt>
                <c:pt idx="235">
                  <c:v>2025-08-06</c:v>
                </c:pt>
                <c:pt idx="236">
                  <c:v>2025-08-05</c:v>
                </c:pt>
                <c:pt idx="237">
                  <c:v>2025-08-04</c:v>
                </c:pt>
                <c:pt idx="238">
                  <c:v>2025-08-01</c:v>
                </c:pt>
                <c:pt idx="239">
                  <c:v>2025-07-31</c:v>
                </c:pt>
                <c:pt idx="240">
                  <c:v>2025-07-30</c:v>
                </c:pt>
                <c:pt idx="241">
                  <c:v>2025-07-29</c:v>
                </c:pt>
                <c:pt idx="242">
                  <c:v>2025-07-28</c:v>
                </c:pt>
                <c:pt idx="243">
                  <c:v>2025-07-25</c:v>
                </c:pt>
                <c:pt idx="244">
                  <c:v>2025-07-24</c:v>
                </c:pt>
                <c:pt idx="245">
                  <c:v>2025-07-23</c:v>
                </c:pt>
                <c:pt idx="246">
                  <c:v>2025-07-22</c:v>
                </c:pt>
                <c:pt idx="247">
                  <c:v>2025-07-21</c:v>
                </c:pt>
                <c:pt idx="248">
                  <c:v>2025-07-18</c:v>
                </c:pt>
                <c:pt idx="249">
                  <c:v>2025-07-17</c:v>
                </c:pt>
                <c:pt idx="250">
                  <c:v>2025-07-16</c:v>
                </c:pt>
                <c:pt idx="251">
                  <c:v>2025-07-15</c:v>
                </c:pt>
                <c:pt idx="252">
                  <c:v>2025-07-14</c:v>
                </c:pt>
                <c:pt idx="253">
                  <c:v>2025-07-11</c:v>
                </c:pt>
                <c:pt idx="254">
                  <c:v>2025-07-10</c:v>
                </c:pt>
                <c:pt idx="255">
                  <c:v>2025-07-09</c:v>
                </c:pt>
                <c:pt idx="256">
                  <c:v>2025-07-08</c:v>
                </c:pt>
                <c:pt idx="257">
                  <c:v>2025-07-07</c:v>
                </c:pt>
                <c:pt idx="258">
                  <c:v>2025-07-03</c:v>
                </c:pt>
                <c:pt idx="259">
                  <c:v>2025-07-02</c:v>
                </c:pt>
                <c:pt idx="260">
                  <c:v>2025-07-01</c:v>
                </c:pt>
                <c:pt idx="261">
                  <c:v>2025-06-30</c:v>
                </c:pt>
                <c:pt idx="262">
                  <c:v>2025-06-27</c:v>
                </c:pt>
                <c:pt idx="263">
                  <c:v>2025-06-26</c:v>
                </c:pt>
                <c:pt idx="264">
                  <c:v>2025-06-25</c:v>
                </c:pt>
                <c:pt idx="265">
                  <c:v>2025-06-24</c:v>
                </c:pt>
                <c:pt idx="266">
                  <c:v>2025-06-23</c:v>
                </c:pt>
                <c:pt idx="267">
                  <c:v>2025-06-20</c:v>
                </c:pt>
                <c:pt idx="268">
                  <c:v>2025-06-18</c:v>
                </c:pt>
                <c:pt idx="269">
                  <c:v>2025-06-17</c:v>
                </c:pt>
                <c:pt idx="270">
                  <c:v>2025-06-16</c:v>
                </c:pt>
                <c:pt idx="271">
                  <c:v>2025-06-13</c:v>
                </c:pt>
                <c:pt idx="272">
                  <c:v>2025-06-12</c:v>
                </c:pt>
                <c:pt idx="273">
                  <c:v>2025-06-11</c:v>
                </c:pt>
                <c:pt idx="274">
                  <c:v>2025-06-10</c:v>
                </c:pt>
                <c:pt idx="275">
                  <c:v>2025-06-09</c:v>
                </c:pt>
                <c:pt idx="276">
                  <c:v>2025-06-06</c:v>
                </c:pt>
                <c:pt idx="277">
                  <c:v>2025-06-05</c:v>
                </c:pt>
                <c:pt idx="278">
                  <c:v>2025-06-04</c:v>
                </c:pt>
                <c:pt idx="279">
                  <c:v>2025-06-03</c:v>
                </c:pt>
                <c:pt idx="280">
                  <c:v>2025-06-02</c:v>
                </c:pt>
                <c:pt idx="281">
                  <c:v>2025-05-30</c:v>
                </c:pt>
                <c:pt idx="282">
                  <c:v>2025-05-29</c:v>
                </c:pt>
                <c:pt idx="283">
                  <c:v>2025-05-28</c:v>
                </c:pt>
                <c:pt idx="284">
                  <c:v>2025-05-27</c:v>
                </c:pt>
                <c:pt idx="285">
                  <c:v>2025-05-23</c:v>
                </c:pt>
                <c:pt idx="286">
                  <c:v>2025-05-22</c:v>
                </c:pt>
                <c:pt idx="287">
                  <c:v>2025-05-21</c:v>
                </c:pt>
                <c:pt idx="288">
                  <c:v>2025-05-20</c:v>
                </c:pt>
                <c:pt idx="289">
                  <c:v>2025-05-19</c:v>
                </c:pt>
                <c:pt idx="290">
                  <c:v>2025-05-16</c:v>
                </c:pt>
                <c:pt idx="291">
                  <c:v>2025-05-15</c:v>
                </c:pt>
                <c:pt idx="292">
                  <c:v>2025-05-14</c:v>
                </c:pt>
                <c:pt idx="293">
                  <c:v>2025-05-13</c:v>
                </c:pt>
                <c:pt idx="294">
                  <c:v>2025-05-12</c:v>
                </c:pt>
                <c:pt idx="295">
                  <c:v>2025-05-09</c:v>
                </c:pt>
                <c:pt idx="296">
                  <c:v>2025-05-08</c:v>
                </c:pt>
                <c:pt idx="297">
                  <c:v>2025-05-07</c:v>
                </c:pt>
                <c:pt idx="298">
                  <c:v>2025-05-06</c:v>
                </c:pt>
                <c:pt idx="299">
                  <c:v>2025-05-05</c:v>
                </c:pt>
                <c:pt idx="300">
                  <c:v>2025-05-02</c:v>
                </c:pt>
                <c:pt idx="301">
                  <c:v>2025-05-01</c:v>
                </c:pt>
                <c:pt idx="302">
                  <c:v>2025-04-30</c:v>
                </c:pt>
                <c:pt idx="303">
                  <c:v>2025-04-29</c:v>
                </c:pt>
                <c:pt idx="304">
                  <c:v>2025-04-28</c:v>
                </c:pt>
                <c:pt idx="305">
                  <c:v>2025-04-25</c:v>
                </c:pt>
                <c:pt idx="306">
                  <c:v>2025-04-24</c:v>
                </c:pt>
                <c:pt idx="307">
                  <c:v>2025-04-23</c:v>
                </c:pt>
                <c:pt idx="308">
                  <c:v>2025-04-22</c:v>
                </c:pt>
                <c:pt idx="309">
                  <c:v>2025-04-21</c:v>
                </c:pt>
                <c:pt idx="310">
                  <c:v>2025-04-17</c:v>
                </c:pt>
                <c:pt idx="311">
                  <c:v>2025-04-16</c:v>
                </c:pt>
                <c:pt idx="312">
                  <c:v>2025-04-15</c:v>
                </c:pt>
                <c:pt idx="313">
                  <c:v>2025-04-14</c:v>
                </c:pt>
                <c:pt idx="314">
                  <c:v>2025-04-11</c:v>
                </c:pt>
                <c:pt idx="315">
                  <c:v>2025-04-10</c:v>
                </c:pt>
                <c:pt idx="316">
                  <c:v>2025-04-09</c:v>
                </c:pt>
                <c:pt idx="317">
                  <c:v>2025-04-08</c:v>
                </c:pt>
                <c:pt idx="318">
                  <c:v>2025-04-07</c:v>
                </c:pt>
                <c:pt idx="319">
                  <c:v>2025-04-04</c:v>
                </c:pt>
                <c:pt idx="320">
                  <c:v>2025-04-03</c:v>
                </c:pt>
                <c:pt idx="321">
                  <c:v>2025-04-02</c:v>
                </c:pt>
                <c:pt idx="322">
                  <c:v>2025-04-01</c:v>
                </c:pt>
                <c:pt idx="323">
                  <c:v>2025-03-31</c:v>
                </c:pt>
                <c:pt idx="324">
                  <c:v>2025-03-28</c:v>
                </c:pt>
                <c:pt idx="325">
                  <c:v>2025-03-27</c:v>
                </c:pt>
                <c:pt idx="326">
                  <c:v>2025-03-26</c:v>
                </c:pt>
                <c:pt idx="327">
                  <c:v>2025-03-25</c:v>
                </c:pt>
                <c:pt idx="328">
                  <c:v>2025-03-24</c:v>
                </c:pt>
                <c:pt idx="329">
                  <c:v>2025-03-21</c:v>
                </c:pt>
                <c:pt idx="330">
                  <c:v>2025-03-20</c:v>
                </c:pt>
                <c:pt idx="331">
                  <c:v>2025-03-19</c:v>
                </c:pt>
                <c:pt idx="332">
                  <c:v>2025-03-18</c:v>
                </c:pt>
                <c:pt idx="333">
                  <c:v>2025-03-17</c:v>
                </c:pt>
                <c:pt idx="334">
                  <c:v>2025-03-14</c:v>
                </c:pt>
                <c:pt idx="335">
                  <c:v>2025-03-13</c:v>
                </c:pt>
                <c:pt idx="336">
                  <c:v>2025-03-12</c:v>
                </c:pt>
                <c:pt idx="337">
                  <c:v>2025-03-11</c:v>
                </c:pt>
                <c:pt idx="338">
                  <c:v>2025-03-10</c:v>
                </c:pt>
                <c:pt idx="339">
                  <c:v>2025-03-07</c:v>
                </c:pt>
                <c:pt idx="340">
                  <c:v>2025-03-06</c:v>
                </c:pt>
                <c:pt idx="341">
                  <c:v>2025-03-05</c:v>
                </c:pt>
                <c:pt idx="342">
                  <c:v>2025-03-04</c:v>
                </c:pt>
                <c:pt idx="343">
                  <c:v>2025-03-03</c:v>
                </c:pt>
                <c:pt idx="344">
                  <c:v>2025-02-28</c:v>
                </c:pt>
                <c:pt idx="345">
                  <c:v>2025-02-27</c:v>
                </c:pt>
                <c:pt idx="346">
                  <c:v>2025-02-26</c:v>
                </c:pt>
                <c:pt idx="347">
                  <c:v>2025-02-25</c:v>
                </c:pt>
                <c:pt idx="348">
                  <c:v>2025-02-24</c:v>
                </c:pt>
                <c:pt idx="349">
                  <c:v>2025-02-21</c:v>
                </c:pt>
                <c:pt idx="350">
                  <c:v>2025-02-20</c:v>
                </c:pt>
                <c:pt idx="351">
                  <c:v>2025-02-19</c:v>
                </c:pt>
                <c:pt idx="352">
                  <c:v>2025-02-18</c:v>
                </c:pt>
                <c:pt idx="353">
                  <c:v>2025-02-14</c:v>
                </c:pt>
                <c:pt idx="354">
                  <c:v>2025-02-13</c:v>
                </c:pt>
                <c:pt idx="355">
                  <c:v>2025-02-12</c:v>
                </c:pt>
                <c:pt idx="356">
                  <c:v>2025-02-11</c:v>
                </c:pt>
                <c:pt idx="357">
                  <c:v>2025-02-10</c:v>
                </c:pt>
                <c:pt idx="358">
                  <c:v>2025-02-07</c:v>
                </c:pt>
                <c:pt idx="359">
                  <c:v>2025-02-06</c:v>
                </c:pt>
                <c:pt idx="360">
                  <c:v>2025-02-05</c:v>
                </c:pt>
                <c:pt idx="361">
                  <c:v>2025-02-04</c:v>
                </c:pt>
                <c:pt idx="362">
                  <c:v>2025-02-03</c:v>
                </c:pt>
                <c:pt idx="363">
                  <c:v>2025-01-31</c:v>
                </c:pt>
                <c:pt idx="364">
                  <c:v>2025-01-30</c:v>
                </c:pt>
                <c:pt idx="365">
                  <c:v>2025-01-29</c:v>
                </c:pt>
                <c:pt idx="366">
                  <c:v>2025-01-28</c:v>
                </c:pt>
                <c:pt idx="367">
                  <c:v>2025-01-27</c:v>
                </c:pt>
                <c:pt idx="368">
                  <c:v>2025-01-24</c:v>
                </c:pt>
                <c:pt idx="369">
                  <c:v>2025-01-23</c:v>
                </c:pt>
                <c:pt idx="370">
                  <c:v>2025-01-22</c:v>
                </c:pt>
                <c:pt idx="371">
                  <c:v>2025-01-21</c:v>
                </c:pt>
                <c:pt idx="372">
                  <c:v>2025-01-17</c:v>
                </c:pt>
                <c:pt idx="373">
                  <c:v>2025-01-16</c:v>
                </c:pt>
                <c:pt idx="374">
                  <c:v>2025-01-15</c:v>
                </c:pt>
                <c:pt idx="375">
                  <c:v>2025-01-14</c:v>
                </c:pt>
                <c:pt idx="376">
                  <c:v>2025-01-13</c:v>
                </c:pt>
                <c:pt idx="377">
                  <c:v>2025-01-10</c:v>
                </c:pt>
                <c:pt idx="378">
                  <c:v>2025-01-08</c:v>
                </c:pt>
                <c:pt idx="379">
                  <c:v>2025-01-07</c:v>
                </c:pt>
                <c:pt idx="380">
                  <c:v>2025-01-06</c:v>
                </c:pt>
                <c:pt idx="381">
                  <c:v>2025-01-03</c:v>
                </c:pt>
                <c:pt idx="382">
                  <c:v>2025-01-02</c:v>
                </c:pt>
                <c:pt idx="383">
                  <c:v>2024-12-31</c:v>
                </c:pt>
                <c:pt idx="384">
                  <c:v>2024-12-30</c:v>
                </c:pt>
                <c:pt idx="385">
                  <c:v>2024-12-27</c:v>
                </c:pt>
                <c:pt idx="386">
                  <c:v>2024-12-26</c:v>
                </c:pt>
                <c:pt idx="387">
                  <c:v>2024-12-24</c:v>
                </c:pt>
                <c:pt idx="388">
                  <c:v>2024-12-23</c:v>
                </c:pt>
                <c:pt idx="389">
                  <c:v>2024-12-20</c:v>
                </c:pt>
                <c:pt idx="390">
                  <c:v>2024-12-19</c:v>
                </c:pt>
                <c:pt idx="391">
                  <c:v>2024-12-18</c:v>
                </c:pt>
                <c:pt idx="392">
                  <c:v>2024-12-17</c:v>
                </c:pt>
                <c:pt idx="393">
                  <c:v>2024-12-16</c:v>
                </c:pt>
                <c:pt idx="394">
                  <c:v>2024-12-13</c:v>
                </c:pt>
                <c:pt idx="395">
                  <c:v>2024-12-12</c:v>
                </c:pt>
                <c:pt idx="396">
                  <c:v>2024-12-11</c:v>
                </c:pt>
                <c:pt idx="397">
                  <c:v>2024-12-10</c:v>
                </c:pt>
                <c:pt idx="398">
                  <c:v>2024-12-09</c:v>
                </c:pt>
                <c:pt idx="399">
                  <c:v>2024-12-06</c:v>
                </c:pt>
                <c:pt idx="400">
                  <c:v>2024-12-05</c:v>
                </c:pt>
                <c:pt idx="401">
                  <c:v>2024-12-04</c:v>
                </c:pt>
                <c:pt idx="402">
                  <c:v>2024-12-03</c:v>
                </c:pt>
                <c:pt idx="403">
                  <c:v>2024-12-02</c:v>
                </c:pt>
                <c:pt idx="404">
                  <c:v>2024-11-29</c:v>
                </c:pt>
                <c:pt idx="405">
                  <c:v>2024-11-27</c:v>
                </c:pt>
                <c:pt idx="406">
                  <c:v>2024-11-26</c:v>
                </c:pt>
                <c:pt idx="407">
                  <c:v>2024-11-25</c:v>
                </c:pt>
                <c:pt idx="408">
                  <c:v>2024-11-22</c:v>
                </c:pt>
                <c:pt idx="409">
                  <c:v>2024-11-21</c:v>
                </c:pt>
                <c:pt idx="410">
                  <c:v>2024-11-20</c:v>
                </c:pt>
                <c:pt idx="411">
                  <c:v>2024-11-19</c:v>
                </c:pt>
                <c:pt idx="412">
                  <c:v>2024-11-18</c:v>
                </c:pt>
                <c:pt idx="413">
                  <c:v>2024-11-15</c:v>
                </c:pt>
                <c:pt idx="414">
                  <c:v>2024-11-14</c:v>
                </c:pt>
                <c:pt idx="415">
                  <c:v>2024-11-13</c:v>
                </c:pt>
                <c:pt idx="416">
                  <c:v>2024-11-12</c:v>
                </c:pt>
                <c:pt idx="417">
                  <c:v>2024-11-11</c:v>
                </c:pt>
                <c:pt idx="418">
                  <c:v>2024-11-08</c:v>
                </c:pt>
                <c:pt idx="419">
                  <c:v>2024-11-07</c:v>
                </c:pt>
                <c:pt idx="420">
                  <c:v>2024-11-06</c:v>
                </c:pt>
                <c:pt idx="421">
                  <c:v>2024-11-05</c:v>
                </c:pt>
                <c:pt idx="422">
                  <c:v>2024-11-04</c:v>
                </c:pt>
                <c:pt idx="423">
                  <c:v>2024-11-01</c:v>
                </c:pt>
                <c:pt idx="424">
                  <c:v>2024-10-31</c:v>
                </c:pt>
                <c:pt idx="425">
                  <c:v>2024-10-30</c:v>
                </c:pt>
                <c:pt idx="426">
                  <c:v>2024-10-29</c:v>
                </c:pt>
                <c:pt idx="427">
                  <c:v>2024-10-28</c:v>
                </c:pt>
                <c:pt idx="428">
                  <c:v>2024-10-25</c:v>
                </c:pt>
                <c:pt idx="429">
                  <c:v>2024-10-24</c:v>
                </c:pt>
                <c:pt idx="430">
                  <c:v>2024-10-23</c:v>
                </c:pt>
                <c:pt idx="431">
                  <c:v>2024-10-22</c:v>
                </c:pt>
                <c:pt idx="432">
                  <c:v>2024-10-21</c:v>
                </c:pt>
                <c:pt idx="433">
                  <c:v>2024-10-18</c:v>
                </c:pt>
                <c:pt idx="434">
                  <c:v>2024-10-17</c:v>
                </c:pt>
                <c:pt idx="435">
                  <c:v>2024-10-16</c:v>
                </c:pt>
                <c:pt idx="436">
                  <c:v>2024-10-15</c:v>
                </c:pt>
                <c:pt idx="437">
                  <c:v>2024-10-14</c:v>
                </c:pt>
                <c:pt idx="438">
                  <c:v>2024-10-11</c:v>
                </c:pt>
                <c:pt idx="439">
                  <c:v>2024-10-10</c:v>
                </c:pt>
                <c:pt idx="440">
                  <c:v>2024-10-09</c:v>
                </c:pt>
                <c:pt idx="441">
                  <c:v>2024-10-08</c:v>
                </c:pt>
                <c:pt idx="442">
                  <c:v>2024-10-07</c:v>
                </c:pt>
                <c:pt idx="443">
                  <c:v>2024-10-04</c:v>
                </c:pt>
                <c:pt idx="444">
                  <c:v>2024-10-03</c:v>
                </c:pt>
                <c:pt idx="445">
                  <c:v>2024-10-02</c:v>
                </c:pt>
                <c:pt idx="446">
                  <c:v>2024-10-01</c:v>
                </c:pt>
                <c:pt idx="447">
                  <c:v>2024-09-30</c:v>
                </c:pt>
                <c:pt idx="448">
                  <c:v>2024-09-27</c:v>
                </c:pt>
                <c:pt idx="449">
                  <c:v>2024-09-26</c:v>
                </c:pt>
                <c:pt idx="450">
                  <c:v>2024-09-25</c:v>
                </c:pt>
                <c:pt idx="451">
                  <c:v>2024-09-24</c:v>
                </c:pt>
                <c:pt idx="452">
                  <c:v>2024-09-23</c:v>
                </c:pt>
                <c:pt idx="453">
                  <c:v>2024-09-20</c:v>
                </c:pt>
                <c:pt idx="454">
                  <c:v>2024-09-19</c:v>
                </c:pt>
                <c:pt idx="455">
                  <c:v>2024-09-18</c:v>
                </c:pt>
                <c:pt idx="456">
                  <c:v>2024-09-17</c:v>
                </c:pt>
                <c:pt idx="457">
                  <c:v>2024-09-16</c:v>
                </c:pt>
                <c:pt idx="458">
                  <c:v>2024-09-13</c:v>
                </c:pt>
                <c:pt idx="459">
                  <c:v>2024-09-12</c:v>
                </c:pt>
                <c:pt idx="460">
                  <c:v>2024-09-11</c:v>
                </c:pt>
                <c:pt idx="461">
                  <c:v>2024-09-10</c:v>
                </c:pt>
                <c:pt idx="462">
                  <c:v>2024-09-09</c:v>
                </c:pt>
                <c:pt idx="463">
                  <c:v>2024-09-06</c:v>
                </c:pt>
                <c:pt idx="464">
                  <c:v>2024-09-05</c:v>
                </c:pt>
                <c:pt idx="465">
                  <c:v>2024-09-04</c:v>
                </c:pt>
                <c:pt idx="466">
                  <c:v>2024-09-03</c:v>
                </c:pt>
                <c:pt idx="467">
                  <c:v>2024-08-30</c:v>
                </c:pt>
                <c:pt idx="468">
                  <c:v>2024-08-29</c:v>
                </c:pt>
                <c:pt idx="469">
                  <c:v>2024-08-28</c:v>
                </c:pt>
                <c:pt idx="470">
                  <c:v>2024-08-27</c:v>
                </c:pt>
                <c:pt idx="471">
                  <c:v>2024-08-26</c:v>
                </c:pt>
                <c:pt idx="472">
                  <c:v>2024-08-23</c:v>
                </c:pt>
                <c:pt idx="473">
                  <c:v>2024-08-22</c:v>
                </c:pt>
                <c:pt idx="474">
                  <c:v>2024-08-21</c:v>
                </c:pt>
                <c:pt idx="475">
                  <c:v>2024-08-20</c:v>
                </c:pt>
                <c:pt idx="476">
                  <c:v>2024-08-19</c:v>
                </c:pt>
                <c:pt idx="477">
                  <c:v>2024-08-16</c:v>
                </c:pt>
                <c:pt idx="478">
                  <c:v>2024-08-15</c:v>
                </c:pt>
                <c:pt idx="479">
                  <c:v>2024-08-14</c:v>
                </c:pt>
                <c:pt idx="480">
                  <c:v>2024-08-13</c:v>
                </c:pt>
                <c:pt idx="481">
                  <c:v>2024-08-12</c:v>
                </c:pt>
                <c:pt idx="482">
                  <c:v>2024-08-09</c:v>
                </c:pt>
                <c:pt idx="483">
                  <c:v>2024-08-08</c:v>
                </c:pt>
                <c:pt idx="484">
                  <c:v>2024-08-07</c:v>
                </c:pt>
                <c:pt idx="485">
                  <c:v>2024-08-06</c:v>
                </c:pt>
                <c:pt idx="486">
                  <c:v>2024-08-05</c:v>
                </c:pt>
                <c:pt idx="487">
                  <c:v>2024-08-02</c:v>
                </c:pt>
                <c:pt idx="488">
                  <c:v>2024-08-01</c:v>
                </c:pt>
                <c:pt idx="489">
                  <c:v>2024-07-31</c:v>
                </c:pt>
                <c:pt idx="490">
                  <c:v>2024-07-30</c:v>
                </c:pt>
                <c:pt idx="491">
                  <c:v>2024-07-29</c:v>
                </c:pt>
                <c:pt idx="492">
                  <c:v>2024-07-26</c:v>
                </c:pt>
                <c:pt idx="493">
                  <c:v>2024-07-25</c:v>
                </c:pt>
                <c:pt idx="494">
                  <c:v>2024-07-24</c:v>
                </c:pt>
                <c:pt idx="495">
                  <c:v>2024-07-23</c:v>
                </c:pt>
                <c:pt idx="496">
                  <c:v>2024-07-22</c:v>
                </c:pt>
                <c:pt idx="497">
                  <c:v>2024-07-19</c:v>
                </c:pt>
                <c:pt idx="498">
                  <c:v>2024-07-18</c:v>
                </c:pt>
                <c:pt idx="499">
                  <c:v>2024-07-17</c:v>
                </c:pt>
                <c:pt idx="500">
                  <c:v>2024-07-16</c:v>
                </c:pt>
                <c:pt idx="501">
                  <c:v>2024-07-15</c:v>
                </c:pt>
                <c:pt idx="502">
                  <c:v>2024-07-12</c:v>
                </c:pt>
                <c:pt idx="503">
                  <c:v>2024-07-11</c:v>
                </c:pt>
                <c:pt idx="504">
                  <c:v>2024-07-10</c:v>
                </c:pt>
                <c:pt idx="505">
                  <c:v>2024-07-09</c:v>
                </c:pt>
                <c:pt idx="506">
                  <c:v>2024-07-08</c:v>
                </c:pt>
                <c:pt idx="507">
                  <c:v>2024-07-05</c:v>
                </c:pt>
                <c:pt idx="508">
                  <c:v>2024-07-03</c:v>
                </c:pt>
                <c:pt idx="509">
                  <c:v>2024-07-02</c:v>
                </c:pt>
                <c:pt idx="510">
                  <c:v>2024-07-01</c:v>
                </c:pt>
                <c:pt idx="511">
                  <c:v>2024-06-28</c:v>
                </c:pt>
                <c:pt idx="512">
                  <c:v>2024-06-27</c:v>
                </c:pt>
                <c:pt idx="513">
                  <c:v>2024-06-26</c:v>
                </c:pt>
                <c:pt idx="514">
                  <c:v>2024-06-25</c:v>
                </c:pt>
                <c:pt idx="515">
                  <c:v>2024-06-24</c:v>
                </c:pt>
                <c:pt idx="516">
                  <c:v>2024-06-21</c:v>
                </c:pt>
                <c:pt idx="517">
                  <c:v>2024-06-20</c:v>
                </c:pt>
                <c:pt idx="518">
                  <c:v>2024-06-18</c:v>
                </c:pt>
                <c:pt idx="519">
                  <c:v>2024-06-17</c:v>
                </c:pt>
                <c:pt idx="520">
                  <c:v>2024-06-14</c:v>
                </c:pt>
                <c:pt idx="521">
                  <c:v>2024-06-13</c:v>
                </c:pt>
                <c:pt idx="522">
                  <c:v>2024-06-12</c:v>
                </c:pt>
                <c:pt idx="523">
                  <c:v>2024-06-11</c:v>
                </c:pt>
                <c:pt idx="524">
                  <c:v>2024-06-10</c:v>
                </c:pt>
                <c:pt idx="525">
                  <c:v>2024-06-07</c:v>
                </c:pt>
                <c:pt idx="526">
                  <c:v>2024-06-06</c:v>
                </c:pt>
                <c:pt idx="527">
                  <c:v>2024-06-05</c:v>
                </c:pt>
                <c:pt idx="528">
                  <c:v>2024-06-04</c:v>
                </c:pt>
                <c:pt idx="529">
                  <c:v>2024-06-03</c:v>
                </c:pt>
                <c:pt idx="530">
                  <c:v>2024-05-31</c:v>
                </c:pt>
                <c:pt idx="531">
                  <c:v>2024-05-30</c:v>
                </c:pt>
                <c:pt idx="532">
                  <c:v>2024-05-29</c:v>
                </c:pt>
                <c:pt idx="533">
                  <c:v>2024-05-28</c:v>
                </c:pt>
                <c:pt idx="534">
                  <c:v>2024-05-24</c:v>
                </c:pt>
                <c:pt idx="535">
                  <c:v>2024-05-23</c:v>
                </c:pt>
                <c:pt idx="536">
                  <c:v>2024-05-22</c:v>
                </c:pt>
                <c:pt idx="537">
                  <c:v>2024-05-21</c:v>
                </c:pt>
                <c:pt idx="538">
                  <c:v>2024-05-20</c:v>
                </c:pt>
                <c:pt idx="539">
                  <c:v>2024-05-17</c:v>
                </c:pt>
                <c:pt idx="540">
                  <c:v>2024-05-16</c:v>
                </c:pt>
                <c:pt idx="541">
                  <c:v>2024-05-15</c:v>
                </c:pt>
                <c:pt idx="542">
                  <c:v>2024-05-14</c:v>
                </c:pt>
                <c:pt idx="543">
                  <c:v>2024-05-13</c:v>
                </c:pt>
                <c:pt idx="544">
                  <c:v>2024-05-10</c:v>
                </c:pt>
                <c:pt idx="545">
                  <c:v>2024-05-09</c:v>
                </c:pt>
                <c:pt idx="546">
                  <c:v>2024-05-08</c:v>
                </c:pt>
                <c:pt idx="547">
                  <c:v>2024-05-07</c:v>
                </c:pt>
                <c:pt idx="548">
                  <c:v>2024-05-06</c:v>
                </c:pt>
                <c:pt idx="549">
                  <c:v>2024-05-03</c:v>
                </c:pt>
                <c:pt idx="550">
                  <c:v>2024-05-02</c:v>
                </c:pt>
                <c:pt idx="551">
                  <c:v>2024-05-01</c:v>
                </c:pt>
                <c:pt idx="552">
                  <c:v>2024-04-30</c:v>
                </c:pt>
                <c:pt idx="553">
                  <c:v>2024-04-29</c:v>
                </c:pt>
                <c:pt idx="554">
                  <c:v>2024-04-26</c:v>
                </c:pt>
                <c:pt idx="555">
                  <c:v>2024-04-25</c:v>
                </c:pt>
                <c:pt idx="556">
                  <c:v>2024-04-24</c:v>
                </c:pt>
                <c:pt idx="557">
                  <c:v>2024-04-23</c:v>
                </c:pt>
                <c:pt idx="558">
                  <c:v>2024-04-22</c:v>
                </c:pt>
                <c:pt idx="559">
                  <c:v>2024-04-19</c:v>
                </c:pt>
                <c:pt idx="560">
                  <c:v>2024-04-18</c:v>
                </c:pt>
                <c:pt idx="561">
                  <c:v>2024-04-17</c:v>
                </c:pt>
                <c:pt idx="562">
                  <c:v>2024-04-16</c:v>
                </c:pt>
                <c:pt idx="563">
                  <c:v>2024-04-15</c:v>
                </c:pt>
                <c:pt idx="564">
                  <c:v>2024-04-12</c:v>
                </c:pt>
                <c:pt idx="565">
                  <c:v>2024-04-11</c:v>
                </c:pt>
                <c:pt idx="566">
                  <c:v>2024-04-10</c:v>
                </c:pt>
                <c:pt idx="567">
                  <c:v>2024-04-09</c:v>
                </c:pt>
                <c:pt idx="568">
                  <c:v>2024-04-08</c:v>
                </c:pt>
                <c:pt idx="569">
                  <c:v>2024-04-05</c:v>
                </c:pt>
                <c:pt idx="570">
                  <c:v>2024-04-04</c:v>
                </c:pt>
                <c:pt idx="571">
                  <c:v>2024-04-03</c:v>
                </c:pt>
                <c:pt idx="572">
                  <c:v>2024-04-02</c:v>
                </c:pt>
                <c:pt idx="573">
                  <c:v>2024-04-01</c:v>
                </c:pt>
                <c:pt idx="574">
                  <c:v>2024-03-28</c:v>
                </c:pt>
                <c:pt idx="575">
                  <c:v>2024-03-27</c:v>
                </c:pt>
                <c:pt idx="576">
                  <c:v>2024-03-26</c:v>
                </c:pt>
                <c:pt idx="577">
                  <c:v>2024-03-25</c:v>
                </c:pt>
                <c:pt idx="578">
                  <c:v>2024-03-22</c:v>
                </c:pt>
                <c:pt idx="579">
                  <c:v>2024-03-21</c:v>
                </c:pt>
                <c:pt idx="580">
                  <c:v>2024-03-20</c:v>
                </c:pt>
                <c:pt idx="581">
                  <c:v>2024-03-19</c:v>
                </c:pt>
                <c:pt idx="582">
                  <c:v>2024-03-18</c:v>
                </c:pt>
                <c:pt idx="583">
                  <c:v>2024-03-15</c:v>
                </c:pt>
                <c:pt idx="584">
                  <c:v>2024-03-14</c:v>
                </c:pt>
                <c:pt idx="585">
                  <c:v>2024-03-13</c:v>
                </c:pt>
                <c:pt idx="586">
                  <c:v>2024-03-12</c:v>
                </c:pt>
                <c:pt idx="587">
                  <c:v>2024-03-11</c:v>
                </c:pt>
                <c:pt idx="588">
                  <c:v>2024-03-08</c:v>
                </c:pt>
                <c:pt idx="589">
                  <c:v>2024-03-07</c:v>
                </c:pt>
                <c:pt idx="590">
                  <c:v>2024-03-06</c:v>
                </c:pt>
                <c:pt idx="591">
                  <c:v>2024-03-05</c:v>
                </c:pt>
                <c:pt idx="592">
                  <c:v>2024-03-04</c:v>
                </c:pt>
                <c:pt idx="593">
                  <c:v>2024-03-01</c:v>
                </c:pt>
                <c:pt idx="594">
                  <c:v>2024-02-29</c:v>
                </c:pt>
                <c:pt idx="595">
                  <c:v>2024-02-28</c:v>
                </c:pt>
                <c:pt idx="596">
                  <c:v>2024-02-27</c:v>
                </c:pt>
                <c:pt idx="597">
                  <c:v>2024-02-26</c:v>
                </c:pt>
                <c:pt idx="598">
                  <c:v>2024-02-23</c:v>
                </c:pt>
                <c:pt idx="599">
                  <c:v>2024-02-22</c:v>
                </c:pt>
                <c:pt idx="600">
                  <c:v>2024-02-21</c:v>
                </c:pt>
                <c:pt idx="601">
                  <c:v>2024-02-20</c:v>
                </c:pt>
                <c:pt idx="602">
                  <c:v>2024-02-16</c:v>
                </c:pt>
                <c:pt idx="603">
                  <c:v>2024-02-15</c:v>
                </c:pt>
                <c:pt idx="604">
                  <c:v>2024-02-14</c:v>
                </c:pt>
                <c:pt idx="605">
                  <c:v>2024-02-13</c:v>
                </c:pt>
                <c:pt idx="606">
                  <c:v>2024-02-12</c:v>
                </c:pt>
                <c:pt idx="607">
                  <c:v>2024-02-09</c:v>
                </c:pt>
                <c:pt idx="608">
                  <c:v>2024-02-08</c:v>
                </c:pt>
                <c:pt idx="609">
                  <c:v>2024-02-07</c:v>
                </c:pt>
                <c:pt idx="610">
                  <c:v>2024-02-06</c:v>
                </c:pt>
                <c:pt idx="611">
                  <c:v>2024-02-05</c:v>
                </c:pt>
                <c:pt idx="612">
                  <c:v>2024-02-02</c:v>
                </c:pt>
                <c:pt idx="613">
                  <c:v>2024-02-01</c:v>
                </c:pt>
                <c:pt idx="614">
                  <c:v>2024-01-31</c:v>
                </c:pt>
                <c:pt idx="615">
                  <c:v>2024-01-30</c:v>
                </c:pt>
                <c:pt idx="616">
                  <c:v>2024-01-29</c:v>
                </c:pt>
                <c:pt idx="617">
                  <c:v>2024-01-26</c:v>
                </c:pt>
                <c:pt idx="618">
                  <c:v>2024-01-25</c:v>
                </c:pt>
                <c:pt idx="619">
                  <c:v>2024-01-24</c:v>
                </c:pt>
                <c:pt idx="620">
                  <c:v>2024-01-23</c:v>
                </c:pt>
                <c:pt idx="621">
                  <c:v>2024-01-22</c:v>
                </c:pt>
                <c:pt idx="622">
                  <c:v>2024-01-19</c:v>
                </c:pt>
                <c:pt idx="623">
                  <c:v>2024-01-18</c:v>
                </c:pt>
                <c:pt idx="624">
                  <c:v>2024-01-17</c:v>
                </c:pt>
                <c:pt idx="625">
                  <c:v>2024-01-16</c:v>
                </c:pt>
                <c:pt idx="626">
                  <c:v>2024-01-12</c:v>
                </c:pt>
                <c:pt idx="627">
                  <c:v>2024-01-11</c:v>
                </c:pt>
                <c:pt idx="628">
                  <c:v>2024-01-10</c:v>
                </c:pt>
                <c:pt idx="629">
                  <c:v>2024-01-09</c:v>
                </c:pt>
                <c:pt idx="630">
                  <c:v>2024-01-08</c:v>
                </c:pt>
                <c:pt idx="631">
                  <c:v>2024-01-05</c:v>
                </c:pt>
                <c:pt idx="632">
                  <c:v>2024-01-04</c:v>
                </c:pt>
                <c:pt idx="633">
                  <c:v>2024-01-03</c:v>
                </c:pt>
                <c:pt idx="634">
                  <c:v>2024-01-02</c:v>
                </c:pt>
                <c:pt idx="635">
                  <c:v>2023-12-29</c:v>
                </c:pt>
                <c:pt idx="636">
                  <c:v>2023-12-28</c:v>
                </c:pt>
                <c:pt idx="637">
                  <c:v>2023-12-27</c:v>
                </c:pt>
                <c:pt idx="638">
                  <c:v>2023-12-26</c:v>
                </c:pt>
                <c:pt idx="639">
                  <c:v>2023-12-22</c:v>
                </c:pt>
                <c:pt idx="640">
                  <c:v>2023-12-21</c:v>
                </c:pt>
                <c:pt idx="641">
                  <c:v>2023-12-20</c:v>
                </c:pt>
                <c:pt idx="642">
                  <c:v>2023-12-19</c:v>
                </c:pt>
                <c:pt idx="643">
                  <c:v>2023-12-18</c:v>
                </c:pt>
                <c:pt idx="644">
                  <c:v>2023-12-15</c:v>
                </c:pt>
                <c:pt idx="645">
                  <c:v>2023-12-14</c:v>
                </c:pt>
                <c:pt idx="646">
                  <c:v>2023-12-13</c:v>
                </c:pt>
                <c:pt idx="647">
                  <c:v>2023-12-12</c:v>
                </c:pt>
                <c:pt idx="648">
                  <c:v>2023-12-11</c:v>
                </c:pt>
                <c:pt idx="649">
                  <c:v>2023-12-08</c:v>
                </c:pt>
                <c:pt idx="650">
                  <c:v>2023-12-07</c:v>
                </c:pt>
                <c:pt idx="651">
                  <c:v>2023-12-06</c:v>
                </c:pt>
                <c:pt idx="652">
                  <c:v>2023-12-05</c:v>
                </c:pt>
                <c:pt idx="653">
                  <c:v>2023-12-04</c:v>
                </c:pt>
                <c:pt idx="654">
                  <c:v>2023-12-01</c:v>
                </c:pt>
                <c:pt idx="655">
                  <c:v>2023-11-30</c:v>
                </c:pt>
                <c:pt idx="656">
                  <c:v>2023-11-29</c:v>
                </c:pt>
                <c:pt idx="657">
                  <c:v>2023-11-28</c:v>
                </c:pt>
                <c:pt idx="658">
                  <c:v>2023-11-27</c:v>
                </c:pt>
                <c:pt idx="659">
                  <c:v>2023-11-24</c:v>
                </c:pt>
                <c:pt idx="660">
                  <c:v>2023-11-22</c:v>
                </c:pt>
                <c:pt idx="661">
                  <c:v>2023-11-21</c:v>
                </c:pt>
                <c:pt idx="662">
                  <c:v>2023-11-20</c:v>
                </c:pt>
                <c:pt idx="663">
                  <c:v>2023-11-17</c:v>
                </c:pt>
                <c:pt idx="664">
                  <c:v>2023-11-16</c:v>
                </c:pt>
                <c:pt idx="665">
                  <c:v>2023-11-15</c:v>
                </c:pt>
                <c:pt idx="666">
                  <c:v>2023-11-14</c:v>
                </c:pt>
                <c:pt idx="667">
                  <c:v>2023-11-13</c:v>
                </c:pt>
                <c:pt idx="668">
                  <c:v>2023-11-10</c:v>
                </c:pt>
                <c:pt idx="669">
                  <c:v>2023-11-09</c:v>
                </c:pt>
                <c:pt idx="670">
                  <c:v>2023-11-08</c:v>
                </c:pt>
                <c:pt idx="671">
                  <c:v>2023-11-07</c:v>
                </c:pt>
                <c:pt idx="672">
                  <c:v>2023-11-06</c:v>
                </c:pt>
                <c:pt idx="673">
                  <c:v>2023-11-03</c:v>
                </c:pt>
                <c:pt idx="674">
                  <c:v>2023-11-02</c:v>
                </c:pt>
                <c:pt idx="675">
                  <c:v>2023-11-01</c:v>
                </c:pt>
                <c:pt idx="676">
                  <c:v>2023-10-31</c:v>
                </c:pt>
                <c:pt idx="677">
                  <c:v>2023-10-30</c:v>
                </c:pt>
                <c:pt idx="678">
                  <c:v>2023-10-27</c:v>
                </c:pt>
                <c:pt idx="679">
                  <c:v>2023-10-26</c:v>
                </c:pt>
                <c:pt idx="680">
                  <c:v>2023-10-25</c:v>
                </c:pt>
                <c:pt idx="681">
                  <c:v>2023-10-24</c:v>
                </c:pt>
                <c:pt idx="682">
                  <c:v>2023-10-23</c:v>
                </c:pt>
                <c:pt idx="683">
                  <c:v>2023-10-20</c:v>
                </c:pt>
                <c:pt idx="684">
                  <c:v>2023-10-19</c:v>
                </c:pt>
                <c:pt idx="685">
                  <c:v>2023-10-18</c:v>
                </c:pt>
                <c:pt idx="686">
                  <c:v>2023-10-17</c:v>
                </c:pt>
                <c:pt idx="687">
                  <c:v>2023-10-16</c:v>
                </c:pt>
                <c:pt idx="688">
                  <c:v>2023-10-13</c:v>
                </c:pt>
                <c:pt idx="689">
                  <c:v>2023-10-12</c:v>
                </c:pt>
                <c:pt idx="690">
                  <c:v>2023-10-11</c:v>
                </c:pt>
                <c:pt idx="691">
                  <c:v>2023-10-10</c:v>
                </c:pt>
                <c:pt idx="692">
                  <c:v>2023-10-09</c:v>
                </c:pt>
                <c:pt idx="693">
                  <c:v>2023-10-06</c:v>
                </c:pt>
                <c:pt idx="694">
                  <c:v>2023-10-05</c:v>
                </c:pt>
                <c:pt idx="695">
                  <c:v>2023-10-04</c:v>
                </c:pt>
                <c:pt idx="696">
                  <c:v>2023-10-03</c:v>
                </c:pt>
                <c:pt idx="697">
                  <c:v>2023-10-02</c:v>
                </c:pt>
                <c:pt idx="698">
                  <c:v>2023-09-29</c:v>
                </c:pt>
                <c:pt idx="699">
                  <c:v>2023-09-28</c:v>
                </c:pt>
                <c:pt idx="700">
                  <c:v>2023-09-27</c:v>
                </c:pt>
                <c:pt idx="701">
                  <c:v>2023-09-26</c:v>
                </c:pt>
                <c:pt idx="702">
                  <c:v>2023-09-25</c:v>
                </c:pt>
                <c:pt idx="703">
                  <c:v>2023-09-22</c:v>
                </c:pt>
                <c:pt idx="704">
                  <c:v>2023-09-21</c:v>
                </c:pt>
                <c:pt idx="705">
                  <c:v>2023-09-20</c:v>
                </c:pt>
                <c:pt idx="706">
                  <c:v>2023-09-19</c:v>
                </c:pt>
                <c:pt idx="707">
                  <c:v>2023-09-18</c:v>
                </c:pt>
                <c:pt idx="708">
                  <c:v>2023-09-15</c:v>
                </c:pt>
                <c:pt idx="709">
                  <c:v>2023-09-14</c:v>
                </c:pt>
                <c:pt idx="710">
                  <c:v>2023-09-13</c:v>
                </c:pt>
                <c:pt idx="711">
                  <c:v>2023-09-12</c:v>
                </c:pt>
                <c:pt idx="712">
                  <c:v>2023-09-11</c:v>
                </c:pt>
                <c:pt idx="713">
                  <c:v>2023-09-08</c:v>
                </c:pt>
                <c:pt idx="714">
                  <c:v>2023-09-07</c:v>
                </c:pt>
                <c:pt idx="715">
                  <c:v>2023-09-06</c:v>
                </c:pt>
                <c:pt idx="716">
                  <c:v>2023-09-05</c:v>
                </c:pt>
                <c:pt idx="717">
                  <c:v>2023-09-01</c:v>
                </c:pt>
                <c:pt idx="718">
                  <c:v>2023-08-31</c:v>
                </c:pt>
                <c:pt idx="719">
                  <c:v>2023-08-30</c:v>
                </c:pt>
                <c:pt idx="720">
                  <c:v>2023-08-29</c:v>
                </c:pt>
                <c:pt idx="721">
                  <c:v>2023-08-28</c:v>
                </c:pt>
                <c:pt idx="722">
                  <c:v>2023-08-25</c:v>
                </c:pt>
                <c:pt idx="723">
                  <c:v>2023-08-24</c:v>
                </c:pt>
                <c:pt idx="724">
                  <c:v>2023-08-23</c:v>
                </c:pt>
                <c:pt idx="725">
                  <c:v>2023-08-22</c:v>
                </c:pt>
                <c:pt idx="726">
                  <c:v>2023-08-21</c:v>
                </c:pt>
                <c:pt idx="727">
                  <c:v>2023-08-18</c:v>
                </c:pt>
                <c:pt idx="728">
                  <c:v>2023-08-17</c:v>
                </c:pt>
                <c:pt idx="729">
                  <c:v>2023-08-16</c:v>
                </c:pt>
                <c:pt idx="730">
                  <c:v>2023-08-15</c:v>
                </c:pt>
                <c:pt idx="731">
                  <c:v>2023-08-14</c:v>
                </c:pt>
                <c:pt idx="732">
                  <c:v>2023-08-11</c:v>
                </c:pt>
                <c:pt idx="733">
                  <c:v>2023-08-10</c:v>
                </c:pt>
                <c:pt idx="734">
                  <c:v>2023-08-09</c:v>
                </c:pt>
                <c:pt idx="735">
                  <c:v>2023-08-08</c:v>
                </c:pt>
                <c:pt idx="736">
                  <c:v>2023-08-07</c:v>
                </c:pt>
                <c:pt idx="737">
                  <c:v>2023-08-04</c:v>
                </c:pt>
                <c:pt idx="738">
                  <c:v>2023-08-03</c:v>
                </c:pt>
                <c:pt idx="739">
                  <c:v>2023-08-02</c:v>
                </c:pt>
                <c:pt idx="740">
                  <c:v>2023-08-01</c:v>
                </c:pt>
                <c:pt idx="741">
                  <c:v>2023-07-31</c:v>
                </c:pt>
                <c:pt idx="742">
                  <c:v>2023-07-28</c:v>
                </c:pt>
                <c:pt idx="743">
                  <c:v>2023-07-27</c:v>
                </c:pt>
                <c:pt idx="744">
                  <c:v>2023-07-26</c:v>
                </c:pt>
                <c:pt idx="745">
                  <c:v>2023-07-25</c:v>
                </c:pt>
                <c:pt idx="746">
                  <c:v>2023-07-24</c:v>
                </c:pt>
                <c:pt idx="747">
                  <c:v>2023-07-21</c:v>
                </c:pt>
                <c:pt idx="748">
                  <c:v>2023-07-20</c:v>
                </c:pt>
                <c:pt idx="749">
                  <c:v>2023-07-19</c:v>
                </c:pt>
                <c:pt idx="750">
                  <c:v>2023-07-18</c:v>
                </c:pt>
                <c:pt idx="751">
                  <c:v>2023-07-17</c:v>
                </c:pt>
                <c:pt idx="752">
                  <c:v>2023-07-14</c:v>
                </c:pt>
                <c:pt idx="753">
                  <c:v>2023-07-13</c:v>
                </c:pt>
                <c:pt idx="754">
                  <c:v>2023-07-12</c:v>
                </c:pt>
                <c:pt idx="755">
                  <c:v>2023-07-11</c:v>
                </c:pt>
                <c:pt idx="756">
                  <c:v>2023-07-10</c:v>
                </c:pt>
                <c:pt idx="757">
                  <c:v>2023-07-07</c:v>
                </c:pt>
                <c:pt idx="758">
                  <c:v>2023-07-06</c:v>
                </c:pt>
                <c:pt idx="759">
                  <c:v>2023-07-05</c:v>
                </c:pt>
                <c:pt idx="760">
                  <c:v>2023-07-03</c:v>
                </c:pt>
                <c:pt idx="761">
                  <c:v>2023-06-30</c:v>
                </c:pt>
                <c:pt idx="762">
                  <c:v>2023-06-29</c:v>
                </c:pt>
                <c:pt idx="763">
                  <c:v>2023-06-28</c:v>
                </c:pt>
                <c:pt idx="764">
                  <c:v>2023-06-27</c:v>
                </c:pt>
                <c:pt idx="765">
                  <c:v>2023-06-26</c:v>
                </c:pt>
                <c:pt idx="766">
                  <c:v>2023-06-23</c:v>
                </c:pt>
                <c:pt idx="767">
                  <c:v>2023-06-22</c:v>
                </c:pt>
                <c:pt idx="768">
                  <c:v>2023-06-21</c:v>
                </c:pt>
                <c:pt idx="769">
                  <c:v>2023-06-20</c:v>
                </c:pt>
                <c:pt idx="770">
                  <c:v>2023-06-16</c:v>
                </c:pt>
                <c:pt idx="771">
                  <c:v>2023-06-15</c:v>
                </c:pt>
                <c:pt idx="772">
                  <c:v>2023-06-14</c:v>
                </c:pt>
                <c:pt idx="773">
                  <c:v>2023-06-13</c:v>
                </c:pt>
                <c:pt idx="774">
                  <c:v>2023-06-12</c:v>
                </c:pt>
                <c:pt idx="775">
                  <c:v>2023-06-09</c:v>
                </c:pt>
                <c:pt idx="776">
                  <c:v>2023-06-08</c:v>
                </c:pt>
                <c:pt idx="777">
                  <c:v>2023-06-07</c:v>
                </c:pt>
                <c:pt idx="778">
                  <c:v>2023-06-06</c:v>
                </c:pt>
                <c:pt idx="779">
                  <c:v>2023-06-05</c:v>
                </c:pt>
                <c:pt idx="780">
                  <c:v>2023-06-02</c:v>
                </c:pt>
                <c:pt idx="781">
                  <c:v>2023-06-01</c:v>
                </c:pt>
                <c:pt idx="782">
                  <c:v>2023-05-31</c:v>
                </c:pt>
                <c:pt idx="783">
                  <c:v>2023-05-30</c:v>
                </c:pt>
                <c:pt idx="784">
                  <c:v>2023-05-26</c:v>
                </c:pt>
                <c:pt idx="785">
                  <c:v>2023-05-25</c:v>
                </c:pt>
                <c:pt idx="786">
                  <c:v>2023-05-24</c:v>
                </c:pt>
                <c:pt idx="787">
                  <c:v>2023-05-23</c:v>
                </c:pt>
                <c:pt idx="788">
                  <c:v>2023-05-22</c:v>
                </c:pt>
                <c:pt idx="789">
                  <c:v>2023-05-19</c:v>
                </c:pt>
                <c:pt idx="790">
                  <c:v>2023-05-18</c:v>
                </c:pt>
                <c:pt idx="791">
                  <c:v>2023-05-17</c:v>
                </c:pt>
                <c:pt idx="792">
                  <c:v>2023-05-16</c:v>
                </c:pt>
                <c:pt idx="793">
                  <c:v>2023-05-15</c:v>
                </c:pt>
                <c:pt idx="794">
                  <c:v>2023-05-12</c:v>
                </c:pt>
                <c:pt idx="795">
                  <c:v>2023-05-11</c:v>
                </c:pt>
                <c:pt idx="796">
                  <c:v>2023-05-10</c:v>
                </c:pt>
                <c:pt idx="797">
                  <c:v>2023-05-09</c:v>
                </c:pt>
                <c:pt idx="798">
                  <c:v>2023-05-08</c:v>
                </c:pt>
                <c:pt idx="799">
                  <c:v>2023-05-05</c:v>
                </c:pt>
                <c:pt idx="800">
                  <c:v>2023-05-04</c:v>
                </c:pt>
                <c:pt idx="801">
                  <c:v>2023-05-03</c:v>
                </c:pt>
                <c:pt idx="802">
                  <c:v>2023-05-02</c:v>
                </c:pt>
                <c:pt idx="803">
                  <c:v>2023-05-01</c:v>
                </c:pt>
                <c:pt idx="804">
                  <c:v>2023-04-28</c:v>
                </c:pt>
                <c:pt idx="805">
                  <c:v>2023-04-27</c:v>
                </c:pt>
                <c:pt idx="806">
                  <c:v>2023-04-26</c:v>
                </c:pt>
                <c:pt idx="807">
                  <c:v>2023-04-25</c:v>
                </c:pt>
                <c:pt idx="808">
                  <c:v>2023-04-24</c:v>
                </c:pt>
                <c:pt idx="809">
                  <c:v>2023-04-21</c:v>
                </c:pt>
                <c:pt idx="810">
                  <c:v>2023-04-20</c:v>
                </c:pt>
                <c:pt idx="811">
                  <c:v>2023-04-19</c:v>
                </c:pt>
                <c:pt idx="812">
                  <c:v>2023-04-18</c:v>
                </c:pt>
                <c:pt idx="813">
                  <c:v>2023-04-17</c:v>
                </c:pt>
                <c:pt idx="814">
                  <c:v>2023-04-14</c:v>
                </c:pt>
                <c:pt idx="815">
                  <c:v>2023-04-13</c:v>
                </c:pt>
                <c:pt idx="816">
                  <c:v>2023-04-12</c:v>
                </c:pt>
                <c:pt idx="817">
                  <c:v>2023-04-11</c:v>
                </c:pt>
                <c:pt idx="818">
                  <c:v>2023-04-10</c:v>
                </c:pt>
                <c:pt idx="819">
                  <c:v>2023-04-06</c:v>
                </c:pt>
                <c:pt idx="820">
                  <c:v>2023-04-05</c:v>
                </c:pt>
                <c:pt idx="821">
                  <c:v>2023-04-04</c:v>
                </c:pt>
                <c:pt idx="822">
                  <c:v>2023-04-03</c:v>
                </c:pt>
                <c:pt idx="823">
                  <c:v>2023-03-31</c:v>
                </c:pt>
                <c:pt idx="824">
                  <c:v>2023-03-30</c:v>
                </c:pt>
                <c:pt idx="825">
                  <c:v>2023-03-29</c:v>
                </c:pt>
                <c:pt idx="826">
                  <c:v>2023-03-28</c:v>
                </c:pt>
                <c:pt idx="827">
                  <c:v>2023-03-27</c:v>
                </c:pt>
                <c:pt idx="828">
                  <c:v>2023-03-24</c:v>
                </c:pt>
                <c:pt idx="829">
                  <c:v>2023-03-23</c:v>
                </c:pt>
                <c:pt idx="830">
                  <c:v>2023-03-22</c:v>
                </c:pt>
                <c:pt idx="831">
                  <c:v>2023-03-21</c:v>
                </c:pt>
                <c:pt idx="832">
                  <c:v>2023-03-20</c:v>
                </c:pt>
                <c:pt idx="833">
                  <c:v>2023-03-17</c:v>
                </c:pt>
                <c:pt idx="834">
                  <c:v>2023-03-16</c:v>
                </c:pt>
                <c:pt idx="835">
                  <c:v>2023-03-15</c:v>
                </c:pt>
                <c:pt idx="836">
                  <c:v>2023-03-14</c:v>
                </c:pt>
                <c:pt idx="837">
                  <c:v>2023-03-13</c:v>
                </c:pt>
                <c:pt idx="838">
                  <c:v>2023-03-10</c:v>
                </c:pt>
                <c:pt idx="839">
                  <c:v>2023-03-09</c:v>
                </c:pt>
                <c:pt idx="840">
                  <c:v>2023-03-08</c:v>
                </c:pt>
                <c:pt idx="841">
                  <c:v>2023-03-07</c:v>
                </c:pt>
                <c:pt idx="842">
                  <c:v>2023-03-06</c:v>
                </c:pt>
                <c:pt idx="843">
                  <c:v>2023-03-03</c:v>
                </c:pt>
                <c:pt idx="844">
                  <c:v>2023-03-02</c:v>
                </c:pt>
                <c:pt idx="845">
                  <c:v>2023-03-01</c:v>
                </c:pt>
                <c:pt idx="846">
                  <c:v>2023-02-28</c:v>
                </c:pt>
                <c:pt idx="847">
                  <c:v>2023-02-27</c:v>
                </c:pt>
                <c:pt idx="848">
                  <c:v>2023-02-24</c:v>
                </c:pt>
                <c:pt idx="849">
                  <c:v>2023-02-23</c:v>
                </c:pt>
                <c:pt idx="850">
                  <c:v>2023-02-22</c:v>
                </c:pt>
                <c:pt idx="851">
                  <c:v>2023-02-21</c:v>
                </c:pt>
                <c:pt idx="852">
                  <c:v>2023-02-17</c:v>
                </c:pt>
                <c:pt idx="853">
                  <c:v>2023-02-16</c:v>
                </c:pt>
                <c:pt idx="854">
                  <c:v>2023-02-15</c:v>
                </c:pt>
                <c:pt idx="855">
                  <c:v>2023-02-14</c:v>
                </c:pt>
                <c:pt idx="856">
                  <c:v>2023-02-13</c:v>
                </c:pt>
                <c:pt idx="857">
                  <c:v>2023-02-10</c:v>
                </c:pt>
                <c:pt idx="858">
                  <c:v>2023-02-09</c:v>
                </c:pt>
                <c:pt idx="859">
                  <c:v>2023-02-08</c:v>
                </c:pt>
                <c:pt idx="860">
                  <c:v>2023-02-07</c:v>
                </c:pt>
                <c:pt idx="861">
                  <c:v>2023-02-06</c:v>
                </c:pt>
                <c:pt idx="862">
                  <c:v>2023-02-03</c:v>
                </c:pt>
                <c:pt idx="863">
                  <c:v>2023-02-02</c:v>
                </c:pt>
                <c:pt idx="864">
                  <c:v>2023-02-01</c:v>
                </c:pt>
                <c:pt idx="865">
                  <c:v>2023-01-31</c:v>
                </c:pt>
                <c:pt idx="866">
                  <c:v>2023-01-30</c:v>
                </c:pt>
                <c:pt idx="867">
                  <c:v>2023-01-27</c:v>
                </c:pt>
                <c:pt idx="868">
                  <c:v>2023-01-26</c:v>
                </c:pt>
                <c:pt idx="869">
                  <c:v>2023-01-25</c:v>
                </c:pt>
                <c:pt idx="870">
                  <c:v>2023-01-24</c:v>
                </c:pt>
                <c:pt idx="871">
                  <c:v>2023-01-23</c:v>
                </c:pt>
                <c:pt idx="872">
                  <c:v>2023-01-20</c:v>
                </c:pt>
                <c:pt idx="873">
                  <c:v>2023-01-19</c:v>
                </c:pt>
                <c:pt idx="874">
                  <c:v>2023-01-18</c:v>
                </c:pt>
                <c:pt idx="875">
                  <c:v>2023-01-17</c:v>
                </c:pt>
                <c:pt idx="876">
                  <c:v>2023-01-13</c:v>
                </c:pt>
                <c:pt idx="877">
                  <c:v>2023-01-12</c:v>
                </c:pt>
                <c:pt idx="878">
                  <c:v>2023-01-11</c:v>
                </c:pt>
                <c:pt idx="879">
                  <c:v>2023-01-10</c:v>
                </c:pt>
                <c:pt idx="880">
                  <c:v>2023-01-09</c:v>
                </c:pt>
                <c:pt idx="881">
                  <c:v>2023-01-06</c:v>
                </c:pt>
                <c:pt idx="882">
                  <c:v>2023-01-05</c:v>
                </c:pt>
                <c:pt idx="883">
                  <c:v>2023-01-04</c:v>
                </c:pt>
                <c:pt idx="884">
                  <c:v>2023-01-03</c:v>
                </c:pt>
                <c:pt idx="885">
                  <c:v>2022-12-30</c:v>
                </c:pt>
                <c:pt idx="886">
                  <c:v>2022-12-29</c:v>
                </c:pt>
                <c:pt idx="887">
                  <c:v>2022-12-28</c:v>
                </c:pt>
                <c:pt idx="888">
                  <c:v>2022-12-27</c:v>
                </c:pt>
                <c:pt idx="889">
                  <c:v>2022-12-23</c:v>
                </c:pt>
                <c:pt idx="890">
                  <c:v>2022-12-22</c:v>
                </c:pt>
                <c:pt idx="891">
                  <c:v>2022-12-21</c:v>
                </c:pt>
                <c:pt idx="892">
                  <c:v>2022-12-20</c:v>
                </c:pt>
                <c:pt idx="893">
                  <c:v>2022-12-19</c:v>
                </c:pt>
                <c:pt idx="894">
                  <c:v>2022-12-16</c:v>
                </c:pt>
                <c:pt idx="895">
                  <c:v>2022-12-15</c:v>
                </c:pt>
                <c:pt idx="896">
                  <c:v>2022-12-14</c:v>
                </c:pt>
                <c:pt idx="897">
                  <c:v>2022-12-13</c:v>
                </c:pt>
                <c:pt idx="898">
                  <c:v>2022-12-12</c:v>
                </c:pt>
                <c:pt idx="899">
                  <c:v>2022-12-09</c:v>
                </c:pt>
                <c:pt idx="900">
                  <c:v>2022-12-08</c:v>
                </c:pt>
                <c:pt idx="901">
                  <c:v>2022-12-07</c:v>
                </c:pt>
                <c:pt idx="902">
                  <c:v>2022-12-06</c:v>
                </c:pt>
                <c:pt idx="903">
                  <c:v>2022-12-05</c:v>
                </c:pt>
                <c:pt idx="904">
                  <c:v>2022-12-02</c:v>
                </c:pt>
                <c:pt idx="905">
                  <c:v>2022-12-01</c:v>
                </c:pt>
                <c:pt idx="906">
                  <c:v>2022-11-30</c:v>
                </c:pt>
                <c:pt idx="907">
                  <c:v>2022-11-29</c:v>
                </c:pt>
                <c:pt idx="908">
                  <c:v>2022-11-28</c:v>
                </c:pt>
                <c:pt idx="909">
                  <c:v>2022-11-25</c:v>
                </c:pt>
                <c:pt idx="910">
                  <c:v>2022-11-23</c:v>
                </c:pt>
                <c:pt idx="911">
                  <c:v>2022-11-22</c:v>
                </c:pt>
                <c:pt idx="912">
                  <c:v>2022-11-21</c:v>
                </c:pt>
                <c:pt idx="913">
                  <c:v>2022-11-18</c:v>
                </c:pt>
                <c:pt idx="914">
                  <c:v>2022-11-17</c:v>
                </c:pt>
                <c:pt idx="915">
                  <c:v>2022-11-16</c:v>
                </c:pt>
                <c:pt idx="916">
                  <c:v>2022-11-15</c:v>
                </c:pt>
                <c:pt idx="917">
                  <c:v>2022-11-14</c:v>
                </c:pt>
                <c:pt idx="918">
                  <c:v>2022-11-11</c:v>
                </c:pt>
                <c:pt idx="919">
                  <c:v>2022-11-10</c:v>
                </c:pt>
                <c:pt idx="920">
                  <c:v>2022-11-09</c:v>
                </c:pt>
                <c:pt idx="921">
                  <c:v>2022-11-08</c:v>
                </c:pt>
                <c:pt idx="922">
                  <c:v>2022-11-07</c:v>
                </c:pt>
                <c:pt idx="923">
                  <c:v>2022-11-04</c:v>
                </c:pt>
                <c:pt idx="924">
                  <c:v>2022-11-03</c:v>
                </c:pt>
                <c:pt idx="925">
                  <c:v>2022-11-02</c:v>
                </c:pt>
                <c:pt idx="926">
                  <c:v>2022-11-01</c:v>
                </c:pt>
                <c:pt idx="927">
                  <c:v>2022-10-31</c:v>
                </c:pt>
                <c:pt idx="928">
                  <c:v>2022-10-28</c:v>
                </c:pt>
                <c:pt idx="929">
                  <c:v>2022-10-27</c:v>
                </c:pt>
                <c:pt idx="930">
                  <c:v>2022-10-26</c:v>
                </c:pt>
                <c:pt idx="931">
                  <c:v>2022-10-25</c:v>
                </c:pt>
                <c:pt idx="932">
                  <c:v>2022-10-24</c:v>
                </c:pt>
                <c:pt idx="933">
                  <c:v>2022-10-21</c:v>
                </c:pt>
                <c:pt idx="934">
                  <c:v>2022-10-20</c:v>
                </c:pt>
                <c:pt idx="935">
                  <c:v>2022-10-19</c:v>
                </c:pt>
                <c:pt idx="936">
                  <c:v>2022-10-18</c:v>
                </c:pt>
                <c:pt idx="937">
                  <c:v>2022-10-17</c:v>
                </c:pt>
                <c:pt idx="938">
                  <c:v>2022-10-14</c:v>
                </c:pt>
                <c:pt idx="939">
                  <c:v>2022-10-13</c:v>
                </c:pt>
                <c:pt idx="940">
                  <c:v>2022-10-12</c:v>
                </c:pt>
                <c:pt idx="941">
                  <c:v>2022-10-11</c:v>
                </c:pt>
                <c:pt idx="942">
                  <c:v>2022-10-10</c:v>
                </c:pt>
                <c:pt idx="943">
                  <c:v>2022-10-07</c:v>
                </c:pt>
                <c:pt idx="944">
                  <c:v>2022-10-06</c:v>
                </c:pt>
                <c:pt idx="945">
                  <c:v>2022-10-05</c:v>
                </c:pt>
                <c:pt idx="946">
                  <c:v>2022-10-04</c:v>
                </c:pt>
                <c:pt idx="947">
                  <c:v>2022-10-03</c:v>
                </c:pt>
                <c:pt idx="948">
                  <c:v>2022-09-30</c:v>
                </c:pt>
                <c:pt idx="949">
                  <c:v>2022-09-29</c:v>
                </c:pt>
                <c:pt idx="950">
                  <c:v>2022-09-28</c:v>
                </c:pt>
                <c:pt idx="951">
                  <c:v>2022-09-27</c:v>
                </c:pt>
                <c:pt idx="952">
                  <c:v>2022-09-26</c:v>
                </c:pt>
                <c:pt idx="953">
                  <c:v>2022-09-23</c:v>
                </c:pt>
                <c:pt idx="954">
                  <c:v>2022-09-22</c:v>
                </c:pt>
                <c:pt idx="955">
                  <c:v>2022-09-21</c:v>
                </c:pt>
                <c:pt idx="956">
                  <c:v>2022-09-20</c:v>
                </c:pt>
                <c:pt idx="957">
                  <c:v>2022-09-19</c:v>
                </c:pt>
                <c:pt idx="958">
                  <c:v>2022-09-16</c:v>
                </c:pt>
                <c:pt idx="959">
                  <c:v>2022-09-15</c:v>
                </c:pt>
                <c:pt idx="960">
                  <c:v>2022-09-14</c:v>
                </c:pt>
                <c:pt idx="961">
                  <c:v>2022-09-13</c:v>
                </c:pt>
                <c:pt idx="962">
                  <c:v>2022-09-12</c:v>
                </c:pt>
                <c:pt idx="963">
                  <c:v>2022-09-09</c:v>
                </c:pt>
                <c:pt idx="964">
                  <c:v>2022-09-08</c:v>
                </c:pt>
                <c:pt idx="965">
                  <c:v>2022-09-07</c:v>
                </c:pt>
                <c:pt idx="966">
                  <c:v>2022-09-06</c:v>
                </c:pt>
                <c:pt idx="967">
                  <c:v>2022-09-02</c:v>
                </c:pt>
                <c:pt idx="968">
                  <c:v>2022-09-01</c:v>
                </c:pt>
                <c:pt idx="969">
                  <c:v>2022-08-31</c:v>
                </c:pt>
                <c:pt idx="970">
                  <c:v>2022-08-30</c:v>
                </c:pt>
                <c:pt idx="971">
                  <c:v>2022-08-29</c:v>
                </c:pt>
                <c:pt idx="972">
                  <c:v>2022-08-26</c:v>
                </c:pt>
                <c:pt idx="973">
                  <c:v>2022-08-25</c:v>
                </c:pt>
                <c:pt idx="974">
                  <c:v>2022-08-24</c:v>
                </c:pt>
                <c:pt idx="975">
                  <c:v>2022-08-23</c:v>
                </c:pt>
                <c:pt idx="976">
                  <c:v>2022-08-22</c:v>
                </c:pt>
                <c:pt idx="977">
                  <c:v>2022-08-19</c:v>
                </c:pt>
                <c:pt idx="978">
                  <c:v>2022-08-18</c:v>
                </c:pt>
                <c:pt idx="979">
                  <c:v>2022-08-17</c:v>
                </c:pt>
                <c:pt idx="980">
                  <c:v>2022-08-16</c:v>
                </c:pt>
                <c:pt idx="981">
                  <c:v>2022-08-15</c:v>
                </c:pt>
                <c:pt idx="982">
                  <c:v>2022-08-12</c:v>
                </c:pt>
                <c:pt idx="983">
                  <c:v>2022-08-11</c:v>
                </c:pt>
                <c:pt idx="984">
                  <c:v>2022-08-10</c:v>
                </c:pt>
                <c:pt idx="985">
                  <c:v>2022-08-09</c:v>
                </c:pt>
                <c:pt idx="986">
                  <c:v>2022-08-08</c:v>
                </c:pt>
                <c:pt idx="987">
                  <c:v>2022-08-05</c:v>
                </c:pt>
                <c:pt idx="988">
                  <c:v>2022-08-04</c:v>
                </c:pt>
                <c:pt idx="989">
                  <c:v>2022-08-03</c:v>
                </c:pt>
                <c:pt idx="990">
                  <c:v>2022-08-02</c:v>
                </c:pt>
                <c:pt idx="991">
                  <c:v>2022-08-01</c:v>
                </c:pt>
                <c:pt idx="992">
                  <c:v>2022-07-29</c:v>
                </c:pt>
                <c:pt idx="993">
                  <c:v>2022-07-28</c:v>
                </c:pt>
                <c:pt idx="994">
                  <c:v>2022-07-27</c:v>
                </c:pt>
                <c:pt idx="995">
                  <c:v>2022-07-26</c:v>
                </c:pt>
                <c:pt idx="996">
                  <c:v>2022-07-25</c:v>
                </c:pt>
                <c:pt idx="997">
                  <c:v>2022-07-22</c:v>
                </c:pt>
                <c:pt idx="998">
                  <c:v>2022-07-21</c:v>
                </c:pt>
                <c:pt idx="999">
                  <c:v>2022-07-20</c:v>
                </c:pt>
                <c:pt idx="1000">
                  <c:v>2022-07-19</c:v>
                </c:pt>
                <c:pt idx="1001">
                  <c:v>2022-07-18</c:v>
                </c:pt>
                <c:pt idx="1002">
                  <c:v>2022-07-15</c:v>
                </c:pt>
                <c:pt idx="1003">
                  <c:v>2022-07-14</c:v>
                </c:pt>
                <c:pt idx="1004">
                  <c:v>2022-07-13</c:v>
                </c:pt>
                <c:pt idx="1005">
                  <c:v>2022-07-12</c:v>
                </c:pt>
                <c:pt idx="1006">
                  <c:v>2022-07-11</c:v>
                </c:pt>
                <c:pt idx="1007">
                  <c:v>2022-07-08</c:v>
                </c:pt>
                <c:pt idx="1008">
                  <c:v>2022-07-07</c:v>
                </c:pt>
                <c:pt idx="1009">
                  <c:v>2022-07-06</c:v>
                </c:pt>
                <c:pt idx="1010">
                  <c:v>2022-07-05</c:v>
                </c:pt>
                <c:pt idx="1011">
                  <c:v>2022-07-01</c:v>
                </c:pt>
                <c:pt idx="1012">
                  <c:v>2022-06-30</c:v>
                </c:pt>
                <c:pt idx="1013">
                  <c:v>2022-06-29</c:v>
                </c:pt>
                <c:pt idx="1014">
                  <c:v>2022-06-28</c:v>
                </c:pt>
                <c:pt idx="1015">
                  <c:v>2022-06-27</c:v>
                </c:pt>
                <c:pt idx="1016">
                  <c:v>2022-06-24</c:v>
                </c:pt>
                <c:pt idx="1017">
                  <c:v>2022-06-23</c:v>
                </c:pt>
                <c:pt idx="1018">
                  <c:v>2022-06-22</c:v>
                </c:pt>
                <c:pt idx="1019">
                  <c:v>2022-06-21</c:v>
                </c:pt>
                <c:pt idx="1020">
                  <c:v>2022-06-17</c:v>
                </c:pt>
                <c:pt idx="1021">
                  <c:v>2022-06-16</c:v>
                </c:pt>
                <c:pt idx="1022">
                  <c:v>2022-06-15</c:v>
                </c:pt>
                <c:pt idx="1023">
                  <c:v>2022-06-14</c:v>
                </c:pt>
                <c:pt idx="1024">
                  <c:v>2022-06-13</c:v>
                </c:pt>
                <c:pt idx="1025">
                  <c:v>2022-06-10</c:v>
                </c:pt>
                <c:pt idx="1026">
                  <c:v>2022-06-09</c:v>
                </c:pt>
                <c:pt idx="1027">
                  <c:v>2022-06-08</c:v>
                </c:pt>
                <c:pt idx="1028">
                  <c:v>2022-06-07</c:v>
                </c:pt>
                <c:pt idx="1029">
                  <c:v>2022-06-06</c:v>
                </c:pt>
                <c:pt idx="1030">
                  <c:v>2022-06-03</c:v>
                </c:pt>
                <c:pt idx="1031">
                  <c:v>2022-06-02</c:v>
                </c:pt>
                <c:pt idx="1032">
                  <c:v>2022-06-01</c:v>
                </c:pt>
                <c:pt idx="1033">
                  <c:v>2022-05-31</c:v>
                </c:pt>
                <c:pt idx="1034">
                  <c:v>2022-05-27</c:v>
                </c:pt>
                <c:pt idx="1035">
                  <c:v>2022-05-26</c:v>
                </c:pt>
                <c:pt idx="1036">
                  <c:v>2022-05-25</c:v>
                </c:pt>
                <c:pt idx="1037">
                  <c:v>2022-05-24</c:v>
                </c:pt>
                <c:pt idx="1038">
                  <c:v>2022-05-23</c:v>
                </c:pt>
                <c:pt idx="1039">
                  <c:v>2022-05-20</c:v>
                </c:pt>
                <c:pt idx="1040">
                  <c:v>2022-05-19</c:v>
                </c:pt>
                <c:pt idx="1041">
                  <c:v>2022-05-18</c:v>
                </c:pt>
                <c:pt idx="1042">
                  <c:v>2022-05-17</c:v>
                </c:pt>
                <c:pt idx="1043">
                  <c:v>2022-05-16</c:v>
                </c:pt>
                <c:pt idx="1044">
                  <c:v>2022-05-13</c:v>
                </c:pt>
                <c:pt idx="1045">
                  <c:v>2022-05-12</c:v>
                </c:pt>
                <c:pt idx="1046">
                  <c:v>2022-05-11</c:v>
                </c:pt>
                <c:pt idx="1047">
                  <c:v>2022-05-10</c:v>
                </c:pt>
                <c:pt idx="1048">
                  <c:v>2022-05-09</c:v>
                </c:pt>
                <c:pt idx="1049">
                  <c:v>2022-05-06</c:v>
                </c:pt>
                <c:pt idx="1050">
                  <c:v>2022-05-05</c:v>
                </c:pt>
                <c:pt idx="1051">
                  <c:v>2022-05-04</c:v>
                </c:pt>
                <c:pt idx="1052">
                  <c:v>2022-05-03</c:v>
                </c:pt>
                <c:pt idx="1053">
                  <c:v>2022-05-02</c:v>
                </c:pt>
                <c:pt idx="1054">
                  <c:v>2022-04-29</c:v>
                </c:pt>
                <c:pt idx="1055">
                  <c:v>2022-04-28</c:v>
                </c:pt>
                <c:pt idx="1056">
                  <c:v>2022-04-27</c:v>
                </c:pt>
                <c:pt idx="1057">
                  <c:v>2022-04-26</c:v>
                </c:pt>
                <c:pt idx="1058">
                  <c:v>2022-04-25</c:v>
                </c:pt>
                <c:pt idx="1059">
                  <c:v>2022-04-22</c:v>
                </c:pt>
                <c:pt idx="1060">
                  <c:v>2022-04-21</c:v>
                </c:pt>
                <c:pt idx="1061">
                  <c:v>2022-04-20</c:v>
                </c:pt>
                <c:pt idx="1062">
                  <c:v>2022-04-19</c:v>
                </c:pt>
                <c:pt idx="1063">
                  <c:v>2022-04-18</c:v>
                </c:pt>
                <c:pt idx="1064">
                  <c:v>2022-04-14</c:v>
                </c:pt>
                <c:pt idx="1065">
                  <c:v>2022-04-13</c:v>
                </c:pt>
                <c:pt idx="1066">
                  <c:v>2022-04-12</c:v>
                </c:pt>
                <c:pt idx="1067">
                  <c:v>2022-04-11</c:v>
                </c:pt>
                <c:pt idx="1068">
                  <c:v>2022-04-08</c:v>
                </c:pt>
                <c:pt idx="1069">
                  <c:v>2022-04-07</c:v>
                </c:pt>
                <c:pt idx="1070">
                  <c:v>2022-04-06</c:v>
                </c:pt>
                <c:pt idx="1071">
                  <c:v>2022-04-05</c:v>
                </c:pt>
                <c:pt idx="1072">
                  <c:v>2022-04-04</c:v>
                </c:pt>
                <c:pt idx="1073">
                  <c:v>2022-04-01</c:v>
                </c:pt>
                <c:pt idx="1074">
                  <c:v>2022-03-31</c:v>
                </c:pt>
                <c:pt idx="1075">
                  <c:v>2022-03-30</c:v>
                </c:pt>
                <c:pt idx="1076">
                  <c:v>2022-03-29</c:v>
                </c:pt>
                <c:pt idx="1077">
                  <c:v>2022-03-28</c:v>
                </c:pt>
                <c:pt idx="1078">
                  <c:v>2022-03-25</c:v>
                </c:pt>
                <c:pt idx="1079">
                  <c:v>2022-03-24</c:v>
                </c:pt>
                <c:pt idx="1080">
                  <c:v>2022-03-23</c:v>
                </c:pt>
                <c:pt idx="1081">
                  <c:v>2022-03-22</c:v>
                </c:pt>
                <c:pt idx="1082">
                  <c:v>2022-03-21</c:v>
                </c:pt>
                <c:pt idx="1083">
                  <c:v>2022-03-18</c:v>
                </c:pt>
                <c:pt idx="1084">
                  <c:v>2022-03-17</c:v>
                </c:pt>
                <c:pt idx="1085">
                  <c:v>2022-03-16</c:v>
                </c:pt>
                <c:pt idx="1086">
                  <c:v>2022-03-15</c:v>
                </c:pt>
                <c:pt idx="1087">
                  <c:v>2022-03-14</c:v>
                </c:pt>
                <c:pt idx="1088">
                  <c:v>2022-03-11</c:v>
                </c:pt>
                <c:pt idx="1089">
                  <c:v>2022-03-10</c:v>
                </c:pt>
                <c:pt idx="1090">
                  <c:v>2022-03-09</c:v>
                </c:pt>
                <c:pt idx="1091">
                  <c:v>2022-03-08</c:v>
                </c:pt>
                <c:pt idx="1092">
                  <c:v>2022-03-07</c:v>
                </c:pt>
                <c:pt idx="1093">
                  <c:v>2022-03-04</c:v>
                </c:pt>
                <c:pt idx="1094">
                  <c:v>2022-03-03</c:v>
                </c:pt>
                <c:pt idx="1095">
                  <c:v>2022-03-02</c:v>
                </c:pt>
                <c:pt idx="1096">
                  <c:v>2022-03-01</c:v>
                </c:pt>
                <c:pt idx="1097">
                  <c:v>2022-02-28</c:v>
                </c:pt>
                <c:pt idx="1098">
                  <c:v>2022-02-25</c:v>
                </c:pt>
                <c:pt idx="1099">
                  <c:v>2022-02-24</c:v>
                </c:pt>
                <c:pt idx="1100">
                  <c:v>2022-02-23</c:v>
                </c:pt>
                <c:pt idx="1101">
                  <c:v>2022-02-22</c:v>
                </c:pt>
                <c:pt idx="1102">
                  <c:v>2022-02-18</c:v>
                </c:pt>
                <c:pt idx="1103">
                  <c:v>2022-02-17</c:v>
                </c:pt>
                <c:pt idx="1104">
                  <c:v>2022-02-16</c:v>
                </c:pt>
                <c:pt idx="1105">
                  <c:v>2022-02-15</c:v>
                </c:pt>
                <c:pt idx="1106">
                  <c:v>2022-02-14</c:v>
                </c:pt>
                <c:pt idx="1107">
                  <c:v>2022-02-11</c:v>
                </c:pt>
                <c:pt idx="1108">
                  <c:v>2022-02-10</c:v>
                </c:pt>
                <c:pt idx="1109">
                  <c:v>2022-02-09</c:v>
                </c:pt>
                <c:pt idx="1110">
                  <c:v>2022-02-08</c:v>
                </c:pt>
                <c:pt idx="1111">
                  <c:v>2022-02-07</c:v>
                </c:pt>
                <c:pt idx="1112">
                  <c:v>2022-02-04</c:v>
                </c:pt>
                <c:pt idx="1113">
                  <c:v>2022-02-03</c:v>
                </c:pt>
                <c:pt idx="1114">
                  <c:v>2022-02-02</c:v>
                </c:pt>
                <c:pt idx="1115">
                  <c:v>2022-02-01</c:v>
                </c:pt>
                <c:pt idx="1116">
                  <c:v>2022-01-31</c:v>
                </c:pt>
                <c:pt idx="1117">
                  <c:v>2022-01-28</c:v>
                </c:pt>
                <c:pt idx="1118">
                  <c:v>2022-01-27</c:v>
                </c:pt>
                <c:pt idx="1119">
                  <c:v>2022-01-26</c:v>
                </c:pt>
                <c:pt idx="1120">
                  <c:v>2022-01-25</c:v>
                </c:pt>
                <c:pt idx="1121">
                  <c:v>2022-01-24</c:v>
                </c:pt>
                <c:pt idx="1122">
                  <c:v>2022-01-21</c:v>
                </c:pt>
                <c:pt idx="1123">
                  <c:v>2022-01-20</c:v>
                </c:pt>
                <c:pt idx="1124">
                  <c:v>2022-01-19</c:v>
                </c:pt>
                <c:pt idx="1125">
                  <c:v>2022-01-18</c:v>
                </c:pt>
                <c:pt idx="1126">
                  <c:v>2022-01-14</c:v>
                </c:pt>
                <c:pt idx="1127">
                  <c:v>2022-01-13</c:v>
                </c:pt>
                <c:pt idx="1128">
                  <c:v>2022-01-12</c:v>
                </c:pt>
                <c:pt idx="1129">
                  <c:v>2022-01-11</c:v>
                </c:pt>
                <c:pt idx="1130">
                  <c:v>2022-01-10</c:v>
                </c:pt>
                <c:pt idx="1131">
                  <c:v>2022-01-07</c:v>
                </c:pt>
                <c:pt idx="1132">
                  <c:v>2022-01-06</c:v>
                </c:pt>
                <c:pt idx="1133">
                  <c:v>2022-01-05</c:v>
                </c:pt>
                <c:pt idx="1134">
                  <c:v>2022-01-04</c:v>
                </c:pt>
                <c:pt idx="1135">
                  <c:v>2022-01-03</c:v>
                </c:pt>
                <c:pt idx="1136">
                  <c:v>2021-12-31</c:v>
                </c:pt>
                <c:pt idx="1137">
                  <c:v>2021-12-30</c:v>
                </c:pt>
                <c:pt idx="1138">
                  <c:v>2021-12-29</c:v>
                </c:pt>
                <c:pt idx="1139">
                  <c:v>2021-12-28</c:v>
                </c:pt>
                <c:pt idx="1140">
                  <c:v>2021-12-27</c:v>
                </c:pt>
                <c:pt idx="1141">
                  <c:v>2021-12-23</c:v>
                </c:pt>
                <c:pt idx="1142">
                  <c:v>2021-12-22</c:v>
                </c:pt>
                <c:pt idx="1143">
                  <c:v>2021-12-21</c:v>
                </c:pt>
                <c:pt idx="1144">
                  <c:v>2021-12-20</c:v>
                </c:pt>
                <c:pt idx="1145">
                  <c:v>2021-12-17</c:v>
                </c:pt>
                <c:pt idx="1146">
                  <c:v>2021-12-16</c:v>
                </c:pt>
                <c:pt idx="1147">
                  <c:v>2021-12-15</c:v>
                </c:pt>
                <c:pt idx="1148">
                  <c:v>2021-12-14</c:v>
                </c:pt>
                <c:pt idx="1149">
                  <c:v>2021-12-13</c:v>
                </c:pt>
                <c:pt idx="1150">
                  <c:v>2021-12-10</c:v>
                </c:pt>
                <c:pt idx="1151">
                  <c:v>2021-12-09</c:v>
                </c:pt>
                <c:pt idx="1152">
                  <c:v>2021-12-08</c:v>
                </c:pt>
                <c:pt idx="1153">
                  <c:v>2021-12-07</c:v>
                </c:pt>
                <c:pt idx="1154">
                  <c:v>2021-12-06</c:v>
                </c:pt>
                <c:pt idx="1155">
                  <c:v>2021-12-03</c:v>
                </c:pt>
                <c:pt idx="1156">
                  <c:v>2021-12-02</c:v>
                </c:pt>
                <c:pt idx="1157">
                  <c:v>2021-12-01</c:v>
                </c:pt>
                <c:pt idx="1158">
                  <c:v>2021-11-30</c:v>
                </c:pt>
                <c:pt idx="1159">
                  <c:v>2021-11-29</c:v>
                </c:pt>
                <c:pt idx="1160">
                  <c:v>2021-11-26</c:v>
                </c:pt>
                <c:pt idx="1161">
                  <c:v>2021-11-24</c:v>
                </c:pt>
                <c:pt idx="1162">
                  <c:v>2021-11-23</c:v>
                </c:pt>
                <c:pt idx="1163">
                  <c:v>2021-11-22</c:v>
                </c:pt>
                <c:pt idx="1164">
                  <c:v>2021-11-19</c:v>
                </c:pt>
                <c:pt idx="1165">
                  <c:v>2021-11-18</c:v>
                </c:pt>
                <c:pt idx="1166">
                  <c:v>2021-11-17</c:v>
                </c:pt>
                <c:pt idx="1167">
                  <c:v>2021-11-16</c:v>
                </c:pt>
                <c:pt idx="1168">
                  <c:v>2021-11-15</c:v>
                </c:pt>
                <c:pt idx="1169">
                  <c:v>2021-11-12</c:v>
                </c:pt>
                <c:pt idx="1170">
                  <c:v>2021-11-11</c:v>
                </c:pt>
                <c:pt idx="1171">
                  <c:v>2021-11-10</c:v>
                </c:pt>
                <c:pt idx="1172">
                  <c:v>2021-11-09</c:v>
                </c:pt>
                <c:pt idx="1173">
                  <c:v>2021-11-08</c:v>
                </c:pt>
                <c:pt idx="1174">
                  <c:v>2021-11-05</c:v>
                </c:pt>
                <c:pt idx="1175">
                  <c:v>2021-11-04</c:v>
                </c:pt>
                <c:pt idx="1176">
                  <c:v>2021-11-03</c:v>
                </c:pt>
                <c:pt idx="1177">
                  <c:v>2021-11-02</c:v>
                </c:pt>
                <c:pt idx="1178">
                  <c:v>2021-11-01</c:v>
                </c:pt>
                <c:pt idx="1179">
                  <c:v>2021-10-29</c:v>
                </c:pt>
                <c:pt idx="1180">
                  <c:v>2021-10-28</c:v>
                </c:pt>
                <c:pt idx="1181">
                  <c:v>2021-10-27</c:v>
                </c:pt>
                <c:pt idx="1182">
                  <c:v>2021-10-26</c:v>
                </c:pt>
                <c:pt idx="1183">
                  <c:v>2021-10-25</c:v>
                </c:pt>
                <c:pt idx="1184">
                  <c:v>2021-10-22</c:v>
                </c:pt>
                <c:pt idx="1185">
                  <c:v>2021-10-21</c:v>
                </c:pt>
                <c:pt idx="1186">
                  <c:v>2021-10-20</c:v>
                </c:pt>
                <c:pt idx="1187">
                  <c:v>2021-10-19</c:v>
                </c:pt>
                <c:pt idx="1188">
                  <c:v>2021-10-18</c:v>
                </c:pt>
                <c:pt idx="1189">
                  <c:v>2021-10-15</c:v>
                </c:pt>
                <c:pt idx="1190">
                  <c:v>2021-10-14</c:v>
                </c:pt>
                <c:pt idx="1191">
                  <c:v>2021-10-13</c:v>
                </c:pt>
                <c:pt idx="1192">
                  <c:v>2021-10-12</c:v>
                </c:pt>
                <c:pt idx="1193">
                  <c:v>2021-10-11</c:v>
                </c:pt>
                <c:pt idx="1194">
                  <c:v>2021-10-08</c:v>
                </c:pt>
                <c:pt idx="1195">
                  <c:v>2021-10-07</c:v>
                </c:pt>
                <c:pt idx="1196">
                  <c:v>2021-10-06</c:v>
                </c:pt>
                <c:pt idx="1197">
                  <c:v>2021-10-05</c:v>
                </c:pt>
                <c:pt idx="1198">
                  <c:v>2021-10-04</c:v>
                </c:pt>
                <c:pt idx="1199">
                  <c:v>2021-10-01</c:v>
                </c:pt>
                <c:pt idx="1200">
                  <c:v>2021-09-30</c:v>
                </c:pt>
                <c:pt idx="1201">
                  <c:v>2021-09-29</c:v>
                </c:pt>
                <c:pt idx="1202">
                  <c:v>2021-09-28</c:v>
                </c:pt>
                <c:pt idx="1203">
                  <c:v>2021-09-27</c:v>
                </c:pt>
                <c:pt idx="1204">
                  <c:v>2021-09-24</c:v>
                </c:pt>
                <c:pt idx="1205">
                  <c:v>2021-09-23</c:v>
                </c:pt>
                <c:pt idx="1206">
                  <c:v>2021-09-22</c:v>
                </c:pt>
                <c:pt idx="1207">
                  <c:v>2021-09-21</c:v>
                </c:pt>
                <c:pt idx="1208">
                  <c:v>2021-09-20</c:v>
                </c:pt>
                <c:pt idx="1209">
                  <c:v>2021-09-17</c:v>
                </c:pt>
                <c:pt idx="1210">
                  <c:v>2021-09-16</c:v>
                </c:pt>
                <c:pt idx="1211">
                  <c:v>2021-09-15</c:v>
                </c:pt>
                <c:pt idx="1212">
                  <c:v>2021-09-14</c:v>
                </c:pt>
                <c:pt idx="1213">
                  <c:v>2021-09-13</c:v>
                </c:pt>
                <c:pt idx="1214">
                  <c:v>2021-09-10</c:v>
                </c:pt>
                <c:pt idx="1215">
                  <c:v>2021-09-09</c:v>
                </c:pt>
                <c:pt idx="1216">
                  <c:v>2021-09-08</c:v>
                </c:pt>
                <c:pt idx="1217">
                  <c:v>2021-09-07</c:v>
                </c:pt>
                <c:pt idx="1218">
                  <c:v>2021-09-03</c:v>
                </c:pt>
                <c:pt idx="1219">
                  <c:v>2021-09-02</c:v>
                </c:pt>
                <c:pt idx="1220">
                  <c:v>2021-09-01</c:v>
                </c:pt>
                <c:pt idx="1221">
                  <c:v>2021-08-31</c:v>
                </c:pt>
                <c:pt idx="1222">
                  <c:v>2021-08-30</c:v>
                </c:pt>
                <c:pt idx="1223">
                  <c:v>2021-08-27</c:v>
                </c:pt>
                <c:pt idx="1224">
                  <c:v>2021-08-26</c:v>
                </c:pt>
                <c:pt idx="1225">
                  <c:v>2021-08-25</c:v>
                </c:pt>
                <c:pt idx="1226">
                  <c:v>2021-08-24</c:v>
                </c:pt>
                <c:pt idx="1227">
                  <c:v>2021-08-23</c:v>
                </c:pt>
                <c:pt idx="1228">
                  <c:v>2021-08-20</c:v>
                </c:pt>
                <c:pt idx="1229">
                  <c:v>2021-08-19</c:v>
                </c:pt>
                <c:pt idx="1230">
                  <c:v>2021-08-18</c:v>
                </c:pt>
                <c:pt idx="1231">
                  <c:v>2021-08-17</c:v>
                </c:pt>
                <c:pt idx="1232">
                  <c:v>2021-08-16</c:v>
                </c:pt>
                <c:pt idx="1233">
                  <c:v>2021-08-13</c:v>
                </c:pt>
                <c:pt idx="1234">
                  <c:v>2021-08-12</c:v>
                </c:pt>
                <c:pt idx="1235">
                  <c:v>2021-08-11</c:v>
                </c:pt>
                <c:pt idx="1236">
                  <c:v>2021-08-10</c:v>
                </c:pt>
                <c:pt idx="1237">
                  <c:v>2021-08-09</c:v>
                </c:pt>
                <c:pt idx="1238">
                  <c:v>2021-08-06</c:v>
                </c:pt>
                <c:pt idx="1239">
                  <c:v>2021-08-05</c:v>
                </c:pt>
                <c:pt idx="1240">
                  <c:v>2021-08-04</c:v>
                </c:pt>
                <c:pt idx="1241">
                  <c:v>2021-08-03</c:v>
                </c:pt>
                <c:pt idx="1242">
                  <c:v>2021-08-02</c:v>
                </c:pt>
                <c:pt idx="1243">
                  <c:v>2021-07-30</c:v>
                </c:pt>
                <c:pt idx="1244">
                  <c:v>2021-07-29</c:v>
                </c:pt>
                <c:pt idx="1245">
                  <c:v>2021-07-28</c:v>
                </c:pt>
                <c:pt idx="1246">
                  <c:v>2021-07-27</c:v>
                </c:pt>
                <c:pt idx="1247">
                  <c:v>2021-07-26</c:v>
                </c:pt>
                <c:pt idx="1248">
                  <c:v>2021-07-23</c:v>
                </c:pt>
                <c:pt idx="1249">
                  <c:v>2021-07-22</c:v>
                </c:pt>
                <c:pt idx="1250">
                  <c:v>2021-07-21</c:v>
                </c:pt>
                <c:pt idx="1251">
                  <c:v>2021-07-20</c:v>
                </c:pt>
                <c:pt idx="1252">
                  <c:v>2021-07-19</c:v>
                </c:pt>
                <c:pt idx="1253">
                  <c:v>2021-07-16</c:v>
                </c:pt>
                <c:pt idx="1254">
                  <c:v>2021-07-15</c:v>
                </c:pt>
                <c:pt idx="1255">
                  <c:v>2021-07-14</c:v>
                </c:pt>
                <c:pt idx="1256">
                  <c:v>2021-07-13</c:v>
                </c:pt>
              </c:strCache>
            </c:strRef>
          </c:cat>
          <c:val>
            <c:numRef>
              <c:f>Data!$C$6:$C$1262</c:f>
              <c:numCache>
                <c:formatCode>General</c:formatCode>
                <c:ptCount val="1257"/>
                <c:pt idx="0">
                  <c:v>327.5</c:v>
                </c:pt>
                <c:pt idx="1">
                  <c:v>314.86</c:v>
                </c:pt>
                <c:pt idx="2">
                  <c:v>317.31</c:v>
                </c:pt>
                <c:pt idx="3">
                  <c:v>315.32</c:v>
                </c:pt>
                <c:pt idx="4">
                  <c:v>316.22000000000003</c:v>
                </c:pt>
                <c:pt idx="5">
                  <c:v>313.39</c:v>
                </c:pt>
                <c:pt idx="6">
                  <c:v>310.66000000000003</c:v>
                </c:pt>
                <c:pt idx="7">
                  <c:v>312.66000000000003</c:v>
                </c:pt>
                <c:pt idx="8">
                  <c:v>308.63</c:v>
                </c:pt>
                <c:pt idx="9">
                  <c:v>294.38</c:v>
                </c:pt>
                <c:pt idx="10">
                  <c:v>289.36</c:v>
                </c:pt>
                <c:pt idx="11">
                  <c:v>281.74</c:v>
                </c:pt>
                <c:pt idx="12">
                  <c:v>283.77999999999997</c:v>
                </c:pt>
                <c:pt idx="13">
                  <c:v>275.14999999999998</c:v>
                </c:pt>
                <c:pt idx="14">
                  <c:v>293.08</c:v>
                </c:pt>
                <c:pt idx="15">
                  <c:v>294.3</c:v>
                </c:pt>
                <c:pt idx="16">
                  <c:v>297.01</c:v>
                </c:pt>
                <c:pt idx="17">
                  <c:v>298.01</c:v>
                </c:pt>
                <c:pt idx="18">
                  <c:v>295.95</c:v>
                </c:pt>
                <c:pt idx="19">
                  <c:v>299.24</c:v>
                </c:pt>
                <c:pt idx="20">
                  <c:v>296.42</c:v>
                </c:pt>
                <c:pt idx="21">
                  <c:v>291.13</c:v>
                </c:pt>
                <c:pt idx="22">
                  <c:v>295.63</c:v>
                </c:pt>
                <c:pt idx="23">
                  <c:v>291.58</c:v>
                </c:pt>
                <c:pt idx="24">
                  <c:v>290.55</c:v>
                </c:pt>
                <c:pt idx="25">
                  <c:v>301.54000000000002</c:v>
                </c:pt>
                <c:pt idx="26">
                  <c:v>307.33999999999997</c:v>
                </c:pt>
                <c:pt idx="27">
                  <c:v>311.23</c:v>
                </c:pt>
                <c:pt idx="28">
                  <c:v>310.26</c:v>
                </c:pt>
                <c:pt idx="29">
                  <c:v>315.2</c:v>
                </c:pt>
                <c:pt idx="30">
                  <c:v>306.31</c:v>
                </c:pt>
                <c:pt idx="31">
                  <c:v>312.06</c:v>
                </c:pt>
                <c:pt idx="32">
                  <c:v>312.51</c:v>
                </c:pt>
                <c:pt idx="33">
                  <c:v>310.85000000000002</c:v>
                </c:pt>
                <c:pt idx="34">
                  <c:v>308.33</c:v>
                </c:pt>
                <c:pt idx="35">
                  <c:v>308.82</c:v>
                </c:pt>
                <c:pt idx="36">
                  <c:v>304.99</c:v>
                </c:pt>
                <c:pt idx="37">
                  <c:v>302.25</c:v>
                </c:pt>
                <c:pt idx="38">
                  <c:v>298.97000000000003</c:v>
                </c:pt>
                <c:pt idx="39">
                  <c:v>297.83999999999997</c:v>
                </c:pt>
                <c:pt idx="40">
                  <c:v>300.23</c:v>
                </c:pt>
                <c:pt idx="41">
                  <c:v>298.20999999999998</c:v>
                </c:pt>
                <c:pt idx="42">
                  <c:v>298.87</c:v>
                </c:pt>
                <c:pt idx="43">
                  <c:v>294.8</c:v>
                </c:pt>
                <c:pt idx="44">
                  <c:v>292.68</c:v>
                </c:pt>
                <c:pt idx="45">
                  <c:v>293.32</c:v>
                </c:pt>
                <c:pt idx="46">
                  <c:v>287.44</c:v>
                </c:pt>
                <c:pt idx="47">
                  <c:v>287.51</c:v>
                </c:pt>
                <c:pt idx="48">
                  <c:v>284.18</c:v>
                </c:pt>
                <c:pt idx="49">
                  <c:v>276.83</c:v>
                </c:pt>
                <c:pt idx="50">
                  <c:v>280.14</c:v>
                </c:pt>
                <c:pt idx="51">
                  <c:v>271.35000000000002</c:v>
                </c:pt>
                <c:pt idx="52">
                  <c:v>270.22000000000003</c:v>
                </c:pt>
                <c:pt idx="53">
                  <c:v>270.70999999999998</c:v>
                </c:pt>
                <c:pt idx="54">
                  <c:v>267.61</c:v>
                </c:pt>
                <c:pt idx="55">
                  <c:v>271.06</c:v>
                </c:pt>
                <c:pt idx="56">
                  <c:v>273.43</c:v>
                </c:pt>
                <c:pt idx="57">
                  <c:v>273.17</c:v>
                </c:pt>
                <c:pt idx="58">
                  <c:v>266.17</c:v>
                </c:pt>
                <c:pt idx="59">
                  <c:v>273.05</c:v>
                </c:pt>
                <c:pt idx="60">
                  <c:v>270.23</c:v>
                </c:pt>
                <c:pt idx="61">
                  <c:v>263.39999999999998</c:v>
                </c:pt>
                <c:pt idx="62">
                  <c:v>266.43</c:v>
                </c:pt>
                <c:pt idx="63">
                  <c:v>258.83</c:v>
                </c:pt>
                <c:pt idx="64">
                  <c:v>259.2</c:v>
                </c:pt>
                <c:pt idx="65">
                  <c:v>260.48</c:v>
                </c:pt>
                <c:pt idx="66">
                  <c:v>260.49</c:v>
                </c:pt>
                <c:pt idx="67">
                  <c:v>258.89999999999998</c:v>
                </c:pt>
                <c:pt idx="68">
                  <c:v>253.5</c:v>
                </c:pt>
                <c:pt idx="69">
                  <c:v>258.86</c:v>
                </c:pt>
                <c:pt idx="70">
                  <c:v>255.92</c:v>
                </c:pt>
                <c:pt idx="71">
                  <c:v>255.63</c:v>
                </c:pt>
                <c:pt idx="72">
                  <c:v>253.79</c:v>
                </c:pt>
                <c:pt idx="73">
                  <c:v>246.63</c:v>
                </c:pt>
                <c:pt idx="74">
                  <c:v>248.8</c:v>
                </c:pt>
                <c:pt idx="75">
                  <c:v>252.89</c:v>
                </c:pt>
                <c:pt idx="76">
                  <c:v>252.62</c:v>
                </c:pt>
                <c:pt idx="77">
                  <c:v>251.64</c:v>
                </c:pt>
                <c:pt idx="78">
                  <c:v>251.49</c:v>
                </c:pt>
                <c:pt idx="79">
                  <c:v>247.99</c:v>
                </c:pt>
                <c:pt idx="80">
                  <c:v>248.96</c:v>
                </c:pt>
                <c:pt idx="81">
                  <c:v>249.94</c:v>
                </c:pt>
                <c:pt idx="82">
                  <c:v>254.23</c:v>
                </c:pt>
                <c:pt idx="83">
                  <c:v>252.82</c:v>
                </c:pt>
                <c:pt idx="84">
                  <c:v>250.12</c:v>
                </c:pt>
                <c:pt idx="85">
                  <c:v>255.76</c:v>
                </c:pt>
                <c:pt idx="86">
                  <c:v>260.81</c:v>
                </c:pt>
                <c:pt idx="87">
                  <c:v>260.83</c:v>
                </c:pt>
                <c:pt idx="88">
                  <c:v>259.88</c:v>
                </c:pt>
                <c:pt idx="89">
                  <c:v>257.45999999999998</c:v>
                </c:pt>
                <c:pt idx="90">
                  <c:v>260.29000000000002</c:v>
                </c:pt>
                <c:pt idx="91">
                  <c:v>262.52</c:v>
                </c:pt>
                <c:pt idx="92">
                  <c:v>263.75</c:v>
                </c:pt>
                <c:pt idx="93">
                  <c:v>264.72000000000003</c:v>
                </c:pt>
                <c:pt idx="94">
                  <c:v>264.18</c:v>
                </c:pt>
                <c:pt idx="95">
                  <c:v>272.95</c:v>
                </c:pt>
                <c:pt idx="96">
                  <c:v>274.23</c:v>
                </c:pt>
                <c:pt idx="97">
                  <c:v>272.14</c:v>
                </c:pt>
                <c:pt idx="98">
                  <c:v>266.18</c:v>
                </c:pt>
                <c:pt idx="99">
                  <c:v>264.58</c:v>
                </c:pt>
                <c:pt idx="100">
                  <c:v>260.58</c:v>
                </c:pt>
                <c:pt idx="101">
                  <c:v>264.35000000000002</c:v>
                </c:pt>
                <c:pt idx="102">
                  <c:v>263.88</c:v>
                </c:pt>
                <c:pt idx="103">
                  <c:v>255.78</c:v>
                </c:pt>
                <c:pt idx="104">
                  <c:v>261.73</c:v>
                </c:pt>
                <c:pt idx="105">
                  <c:v>275.5</c:v>
                </c:pt>
                <c:pt idx="106">
                  <c:v>273.68</c:v>
                </c:pt>
                <c:pt idx="107">
                  <c:v>274.62</c:v>
                </c:pt>
                <c:pt idx="108">
                  <c:v>278.12</c:v>
                </c:pt>
                <c:pt idx="109">
                  <c:v>275.91000000000003</c:v>
                </c:pt>
                <c:pt idx="110">
                  <c:v>276.49</c:v>
                </c:pt>
                <c:pt idx="111">
                  <c:v>269.48</c:v>
                </c:pt>
                <c:pt idx="112">
                  <c:v>270.01</c:v>
                </c:pt>
                <c:pt idx="113">
                  <c:v>259.48</c:v>
                </c:pt>
                <c:pt idx="114">
                  <c:v>258.27999999999997</c:v>
                </c:pt>
                <c:pt idx="115">
                  <c:v>256.44</c:v>
                </c:pt>
                <c:pt idx="116">
                  <c:v>258.27</c:v>
                </c:pt>
                <c:pt idx="117">
                  <c:v>255.41</c:v>
                </c:pt>
                <c:pt idx="118">
                  <c:v>248.04</c:v>
                </c:pt>
                <c:pt idx="119">
                  <c:v>248.35</c:v>
                </c:pt>
                <c:pt idx="120">
                  <c:v>247.65</c:v>
                </c:pt>
                <c:pt idx="121">
                  <c:v>246.7</c:v>
                </c:pt>
                <c:pt idx="122">
                  <c:v>255.53</c:v>
                </c:pt>
                <c:pt idx="123">
                  <c:v>258.20999999999998</c:v>
                </c:pt>
                <c:pt idx="124">
                  <c:v>259.95999999999998</c:v>
                </c:pt>
                <c:pt idx="125">
                  <c:v>261.05</c:v>
                </c:pt>
                <c:pt idx="126">
                  <c:v>260.25</c:v>
                </c:pt>
                <c:pt idx="127">
                  <c:v>259.37</c:v>
                </c:pt>
                <c:pt idx="128">
                  <c:v>259.04000000000002</c:v>
                </c:pt>
                <c:pt idx="129">
                  <c:v>260.33</c:v>
                </c:pt>
                <c:pt idx="130">
                  <c:v>262.36</c:v>
                </c:pt>
                <c:pt idx="131">
                  <c:v>267.26</c:v>
                </c:pt>
                <c:pt idx="132">
                  <c:v>271.01</c:v>
                </c:pt>
                <c:pt idx="133">
                  <c:v>271.86</c:v>
                </c:pt>
                <c:pt idx="134">
                  <c:v>273.08</c:v>
                </c:pt>
                <c:pt idx="135">
                  <c:v>273.76</c:v>
                </c:pt>
                <c:pt idx="136">
                  <c:v>273.39999999999998</c:v>
                </c:pt>
                <c:pt idx="137">
                  <c:v>273.81</c:v>
                </c:pt>
                <c:pt idx="138">
                  <c:v>272.36</c:v>
                </c:pt>
                <c:pt idx="139">
                  <c:v>270.97000000000003</c:v>
                </c:pt>
                <c:pt idx="140">
                  <c:v>273.67</c:v>
                </c:pt>
                <c:pt idx="141">
                  <c:v>272.19</c:v>
                </c:pt>
                <c:pt idx="142">
                  <c:v>271.83999999999997</c:v>
                </c:pt>
                <c:pt idx="143">
                  <c:v>274.61</c:v>
                </c:pt>
                <c:pt idx="144">
                  <c:v>274.11</c:v>
                </c:pt>
                <c:pt idx="145">
                  <c:v>278.27999999999997</c:v>
                </c:pt>
                <c:pt idx="146">
                  <c:v>278.02999999999997</c:v>
                </c:pt>
                <c:pt idx="147">
                  <c:v>278.77999999999997</c:v>
                </c:pt>
                <c:pt idx="148">
                  <c:v>277.18</c:v>
                </c:pt>
                <c:pt idx="149">
                  <c:v>277.89</c:v>
                </c:pt>
                <c:pt idx="150">
                  <c:v>278.77999999999997</c:v>
                </c:pt>
                <c:pt idx="151">
                  <c:v>280.7</c:v>
                </c:pt>
                <c:pt idx="152">
                  <c:v>284.14999999999998</c:v>
                </c:pt>
                <c:pt idx="153">
                  <c:v>286.19</c:v>
                </c:pt>
                <c:pt idx="154">
                  <c:v>283.10000000000002</c:v>
                </c:pt>
                <c:pt idx="155">
                  <c:v>278.85000000000002</c:v>
                </c:pt>
                <c:pt idx="156">
                  <c:v>277.55</c:v>
                </c:pt>
                <c:pt idx="157">
                  <c:v>276.97000000000003</c:v>
                </c:pt>
                <c:pt idx="158">
                  <c:v>275.92</c:v>
                </c:pt>
                <c:pt idx="159">
                  <c:v>271.49</c:v>
                </c:pt>
                <c:pt idx="160">
                  <c:v>266.25</c:v>
                </c:pt>
                <c:pt idx="161">
                  <c:v>268.56</c:v>
                </c:pt>
                <c:pt idx="162">
                  <c:v>267.44</c:v>
                </c:pt>
                <c:pt idx="163">
                  <c:v>267.45999999999998</c:v>
                </c:pt>
                <c:pt idx="164">
                  <c:v>272.41000000000003</c:v>
                </c:pt>
                <c:pt idx="165">
                  <c:v>272.95</c:v>
                </c:pt>
                <c:pt idx="166">
                  <c:v>273.47000000000003</c:v>
                </c:pt>
                <c:pt idx="167">
                  <c:v>275.25</c:v>
                </c:pt>
                <c:pt idx="168">
                  <c:v>269.43</c:v>
                </c:pt>
                <c:pt idx="169">
                  <c:v>268.47000000000003</c:v>
                </c:pt>
                <c:pt idx="170">
                  <c:v>269.77</c:v>
                </c:pt>
                <c:pt idx="171">
                  <c:v>270.14</c:v>
                </c:pt>
                <c:pt idx="172">
                  <c:v>270.04000000000002</c:v>
                </c:pt>
                <c:pt idx="173">
                  <c:v>269.05</c:v>
                </c:pt>
                <c:pt idx="174">
                  <c:v>270.37</c:v>
                </c:pt>
                <c:pt idx="175">
                  <c:v>271.39999999999998</c:v>
                </c:pt>
                <c:pt idx="176">
                  <c:v>269.7</c:v>
                </c:pt>
                <c:pt idx="177">
                  <c:v>269</c:v>
                </c:pt>
                <c:pt idx="178">
                  <c:v>268.81</c:v>
                </c:pt>
                <c:pt idx="179">
                  <c:v>262.82</c:v>
                </c:pt>
                <c:pt idx="180">
                  <c:v>259.58</c:v>
                </c:pt>
                <c:pt idx="181">
                  <c:v>258.45</c:v>
                </c:pt>
                <c:pt idx="182">
                  <c:v>262.77</c:v>
                </c:pt>
                <c:pt idx="183">
                  <c:v>262.24</c:v>
                </c:pt>
                <c:pt idx="184">
                  <c:v>252.29</c:v>
                </c:pt>
                <c:pt idx="185">
                  <c:v>247.45</c:v>
                </c:pt>
                <c:pt idx="186">
                  <c:v>249.34</c:v>
                </c:pt>
                <c:pt idx="187">
                  <c:v>247.77</c:v>
                </c:pt>
                <c:pt idx="188">
                  <c:v>247.66</c:v>
                </c:pt>
                <c:pt idx="189">
                  <c:v>245.27</c:v>
                </c:pt>
                <c:pt idx="190">
                  <c:v>254.04</c:v>
                </c:pt>
                <c:pt idx="191">
                  <c:v>258.06</c:v>
                </c:pt>
                <c:pt idx="192">
                  <c:v>256.48</c:v>
                </c:pt>
                <c:pt idx="193">
                  <c:v>256.69</c:v>
                </c:pt>
                <c:pt idx="194">
                  <c:v>258.02</c:v>
                </c:pt>
                <c:pt idx="195">
                  <c:v>257.13</c:v>
                </c:pt>
                <c:pt idx="196">
                  <c:v>255.45</c:v>
                </c:pt>
                <c:pt idx="197">
                  <c:v>254.63</c:v>
                </c:pt>
                <c:pt idx="198">
                  <c:v>254.43</c:v>
                </c:pt>
                <c:pt idx="199">
                  <c:v>255.46</c:v>
                </c:pt>
                <c:pt idx="200">
                  <c:v>256.87</c:v>
                </c:pt>
                <c:pt idx="201">
                  <c:v>252.31</c:v>
                </c:pt>
                <c:pt idx="202">
                  <c:v>254.43</c:v>
                </c:pt>
                <c:pt idx="203">
                  <c:v>256.08</c:v>
                </c:pt>
                <c:pt idx="204">
                  <c:v>245.5</c:v>
                </c:pt>
                <c:pt idx="205">
                  <c:v>237.88</c:v>
                </c:pt>
                <c:pt idx="206">
                  <c:v>238.99</c:v>
                </c:pt>
                <c:pt idx="207">
                  <c:v>238.15</c:v>
                </c:pt>
                <c:pt idx="208">
                  <c:v>236.7</c:v>
                </c:pt>
                <c:pt idx="209">
                  <c:v>234.07</c:v>
                </c:pt>
                <c:pt idx="210">
                  <c:v>230.03</c:v>
                </c:pt>
                <c:pt idx="211">
                  <c:v>226.79</c:v>
                </c:pt>
                <c:pt idx="212">
                  <c:v>234.35</c:v>
                </c:pt>
                <c:pt idx="213">
                  <c:v>237.88</c:v>
                </c:pt>
                <c:pt idx="214">
                  <c:v>239.69</c:v>
                </c:pt>
                <c:pt idx="215">
                  <c:v>239.78</c:v>
                </c:pt>
                <c:pt idx="216">
                  <c:v>238.47</c:v>
                </c:pt>
                <c:pt idx="217">
                  <c:v>229.72</c:v>
                </c:pt>
                <c:pt idx="218">
                  <c:v>232.14</c:v>
                </c:pt>
                <c:pt idx="219">
                  <c:v>232.56</c:v>
                </c:pt>
                <c:pt idx="220">
                  <c:v>230.49</c:v>
                </c:pt>
                <c:pt idx="221">
                  <c:v>229.31</c:v>
                </c:pt>
                <c:pt idx="222">
                  <c:v>227.16</c:v>
                </c:pt>
                <c:pt idx="223">
                  <c:v>227.76</c:v>
                </c:pt>
                <c:pt idx="224">
                  <c:v>224.9</c:v>
                </c:pt>
                <c:pt idx="225">
                  <c:v>226.01</c:v>
                </c:pt>
                <c:pt idx="226">
                  <c:v>230.56</c:v>
                </c:pt>
                <c:pt idx="227">
                  <c:v>230.89</c:v>
                </c:pt>
                <c:pt idx="228">
                  <c:v>231.59</c:v>
                </c:pt>
                <c:pt idx="229">
                  <c:v>232.78</c:v>
                </c:pt>
                <c:pt idx="230">
                  <c:v>233.33</c:v>
                </c:pt>
                <c:pt idx="231">
                  <c:v>229.65</c:v>
                </c:pt>
                <c:pt idx="232">
                  <c:v>227.18</c:v>
                </c:pt>
                <c:pt idx="233">
                  <c:v>229.35</c:v>
                </c:pt>
                <c:pt idx="234">
                  <c:v>220.03</c:v>
                </c:pt>
                <c:pt idx="235">
                  <c:v>213.25</c:v>
                </c:pt>
                <c:pt idx="236">
                  <c:v>202.92</c:v>
                </c:pt>
                <c:pt idx="237">
                  <c:v>203.35</c:v>
                </c:pt>
                <c:pt idx="238">
                  <c:v>202.38</c:v>
                </c:pt>
                <c:pt idx="239">
                  <c:v>207.57</c:v>
                </c:pt>
                <c:pt idx="240">
                  <c:v>209.05</c:v>
                </c:pt>
                <c:pt idx="241">
                  <c:v>211.27</c:v>
                </c:pt>
                <c:pt idx="242">
                  <c:v>214.05</c:v>
                </c:pt>
                <c:pt idx="243">
                  <c:v>213.88</c:v>
                </c:pt>
                <c:pt idx="244">
                  <c:v>213.76</c:v>
                </c:pt>
                <c:pt idx="245">
                  <c:v>214.15</c:v>
                </c:pt>
                <c:pt idx="246">
                  <c:v>214.4</c:v>
                </c:pt>
                <c:pt idx="247">
                  <c:v>212.48</c:v>
                </c:pt>
                <c:pt idx="248">
                  <c:v>211.18</c:v>
                </c:pt>
                <c:pt idx="249">
                  <c:v>210.02</c:v>
                </c:pt>
                <c:pt idx="250">
                  <c:v>210.16</c:v>
                </c:pt>
                <c:pt idx="251">
                  <c:v>209.11</c:v>
                </c:pt>
                <c:pt idx="252">
                  <c:v>208.62</c:v>
                </c:pt>
                <c:pt idx="253">
                  <c:v>211.16</c:v>
                </c:pt>
                <c:pt idx="254">
                  <c:v>212.41</c:v>
                </c:pt>
                <c:pt idx="255">
                  <c:v>211.14</c:v>
                </c:pt>
                <c:pt idx="256">
                  <c:v>210.01</c:v>
                </c:pt>
                <c:pt idx="257">
                  <c:v>209.95</c:v>
                </c:pt>
                <c:pt idx="258">
                  <c:v>213.55</c:v>
                </c:pt>
                <c:pt idx="259">
                  <c:v>212.44</c:v>
                </c:pt>
                <c:pt idx="260">
                  <c:v>207.82</c:v>
                </c:pt>
                <c:pt idx="261">
                  <c:v>205.17</c:v>
                </c:pt>
                <c:pt idx="262">
                  <c:v>201.08</c:v>
                </c:pt>
                <c:pt idx="263">
                  <c:v>201</c:v>
                </c:pt>
                <c:pt idx="264">
                  <c:v>201.56</c:v>
                </c:pt>
                <c:pt idx="265">
                  <c:v>200.3</c:v>
                </c:pt>
                <c:pt idx="266">
                  <c:v>201.5</c:v>
                </c:pt>
                <c:pt idx="267">
                  <c:v>201</c:v>
                </c:pt>
                <c:pt idx="268">
                  <c:v>196.58</c:v>
                </c:pt>
                <c:pt idx="269">
                  <c:v>195.64</c:v>
                </c:pt>
                <c:pt idx="270">
                  <c:v>198.42</c:v>
                </c:pt>
                <c:pt idx="271">
                  <c:v>196.45</c:v>
                </c:pt>
                <c:pt idx="272">
                  <c:v>199.2</c:v>
                </c:pt>
                <c:pt idx="273">
                  <c:v>198.78</c:v>
                </c:pt>
                <c:pt idx="274">
                  <c:v>202.67</c:v>
                </c:pt>
                <c:pt idx="275">
                  <c:v>201.45</c:v>
                </c:pt>
                <c:pt idx="276">
                  <c:v>203.92</c:v>
                </c:pt>
                <c:pt idx="277">
                  <c:v>200.63</c:v>
                </c:pt>
                <c:pt idx="278">
                  <c:v>202.82</c:v>
                </c:pt>
                <c:pt idx="279">
                  <c:v>203.27</c:v>
                </c:pt>
                <c:pt idx="280">
                  <c:v>201.7</c:v>
                </c:pt>
                <c:pt idx="281">
                  <c:v>200.85</c:v>
                </c:pt>
                <c:pt idx="282">
                  <c:v>199.95</c:v>
                </c:pt>
                <c:pt idx="283">
                  <c:v>200.42</c:v>
                </c:pt>
                <c:pt idx="284">
                  <c:v>200.21</c:v>
                </c:pt>
                <c:pt idx="285">
                  <c:v>195.27</c:v>
                </c:pt>
                <c:pt idx="286">
                  <c:v>201.36</c:v>
                </c:pt>
                <c:pt idx="287">
                  <c:v>202.09</c:v>
                </c:pt>
                <c:pt idx="288">
                  <c:v>206.86</c:v>
                </c:pt>
                <c:pt idx="289">
                  <c:v>208.78</c:v>
                </c:pt>
                <c:pt idx="290">
                  <c:v>211.26</c:v>
                </c:pt>
                <c:pt idx="291">
                  <c:v>211.45</c:v>
                </c:pt>
                <c:pt idx="292">
                  <c:v>212.33</c:v>
                </c:pt>
                <c:pt idx="293">
                  <c:v>212.93</c:v>
                </c:pt>
                <c:pt idx="294">
                  <c:v>210.79</c:v>
                </c:pt>
                <c:pt idx="295">
                  <c:v>198.53</c:v>
                </c:pt>
                <c:pt idx="296">
                  <c:v>197.49</c:v>
                </c:pt>
                <c:pt idx="297">
                  <c:v>196.25</c:v>
                </c:pt>
                <c:pt idx="298">
                  <c:v>198.51</c:v>
                </c:pt>
                <c:pt idx="299">
                  <c:v>198.89</c:v>
                </c:pt>
                <c:pt idx="300">
                  <c:v>205.35</c:v>
                </c:pt>
                <c:pt idx="301">
                  <c:v>213.32</c:v>
                </c:pt>
                <c:pt idx="302">
                  <c:v>212.5</c:v>
                </c:pt>
                <c:pt idx="303">
                  <c:v>211.21</c:v>
                </c:pt>
                <c:pt idx="304">
                  <c:v>210.14</c:v>
                </c:pt>
                <c:pt idx="305">
                  <c:v>209.28</c:v>
                </c:pt>
                <c:pt idx="306">
                  <c:v>208.37</c:v>
                </c:pt>
                <c:pt idx="307">
                  <c:v>204.6</c:v>
                </c:pt>
                <c:pt idx="308">
                  <c:v>199.74</c:v>
                </c:pt>
                <c:pt idx="309">
                  <c:v>193.16</c:v>
                </c:pt>
                <c:pt idx="310">
                  <c:v>196.98</c:v>
                </c:pt>
                <c:pt idx="311">
                  <c:v>194.27</c:v>
                </c:pt>
                <c:pt idx="312">
                  <c:v>202.14</c:v>
                </c:pt>
                <c:pt idx="313">
                  <c:v>202.52</c:v>
                </c:pt>
                <c:pt idx="314">
                  <c:v>198.15</c:v>
                </c:pt>
                <c:pt idx="315">
                  <c:v>190.42</c:v>
                </c:pt>
                <c:pt idx="316">
                  <c:v>198.85</c:v>
                </c:pt>
                <c:pt idx="317">
                  <c:v>172.42</c:v>
                </c:pt>
                <c:pt idx="318">
                  <c:v>181.46</c:v>
                </c:pt>
                <c:pt idx="319">
                  <c:v>188.38</c:v>
                </c:pt>
                <c:pt idx="320">
                  <c:v>203.19</c:v>
                </c:pt>
                <c:pt idx="321">
                  <c:v>223.89</c:v>
                </c:pt>
                <c:pt idx="322">
                  <c:v>223.19</c:v>
                </c:pt>
                <c:pt idx="323">
                  <c:v>222.13</c:v>
                </c:pt>
                <c:pt idx="324">
                  <c:v>217.9</c:v>
                </c:pt>
                <c:pt idx="325">
                  <c:v>223.85</c:v>
                </c:pt>
                <c:pt idx="326">
                  <c:v>221.53</c:v>
                </c:pt>
                <c:pt idx="327">
                  <c:v>223.75</c:v>
                </c:pt>
                <c:pt idx="328">
                  <c:v>220.73</c:v>
                </c:pt>
                <c:pt idx="329">
                  <c:v>218.27</c:v>
                </c:pt>
                <c:pt idx="330">
                  <c:v>214.1</c:v>
                </c:pt>
                <c:pt idx="331">
                  <c:v>215.24</c:v>
                </c:pt>
                <c:pt idx="332">
                  <c:v>212.69</c:v>
                </c:pt>
                <c:pt idx="333">
                  <c:v>214</c:v>
                </c:pt>
                <c:pt idx="334">
                  <c:v>213.49</c:v>
                </c:pt>
                <c:pt idx="335">
                  <c:v>209.68</c:v>
                </c:pt>
                <c:pt idx="336">
                  <c:v>216.98</c:v>
                </c:pt>
                <c:pt idx="337">
                  <c:v>220.84</c:v>
                </c:pt>
                <c:pt idx="338">
                  <c:v>227.48</c:v>
                </c:pt>
                <c:pt idx="339">
                  <c:v>239.07</c:v>
                </c:pt>
                <c:pt idx="340">
                  <c:v>235.33</c:v>
                </c:pt>
                <c:pt idx="341">
                  <c:v>235.74</c:v>
                </c:pt>
                <c:pt idx="342">
                  <c:v>235.93</c:v>
                </c:pt>
                <c:pt idx="343">
                  <c:v>238.03</c:v>
                </c:pt>
                <c:pt idx="344">
                  <c:v>241.84</c:v>
                </c:pt>
                <c:pt idx="345">
                  <c:v>237.3</c:v>
                </c:pt>
                <c:pt idx="346">
                  <c:v>240.36</c:v>
                </c:pt>
                <c:pt idx="347">
                  <c:v>247.04</c:v>
                </c:pt>
                <c:pt idx="348">
                  <c:v>247.1</c:v>
                </c:pt>
                <c:pt idx="349">
                  <c:v>245.55</c:v>
                </c:pt>
                <c:pt idx="350">
                  <c:v>245.83</c:v>
                </c:pt>
                <c:pt idx="351">
                  <c:v>244.87</c:v>
                </c:pt>
                <c:pt idx="352">
                  <c:v>244.47</c:v>
                </c:pt>
                <c:pt idx="353">
                  <c:v>244.6</c:v>
                </c:pt>
                <c:pt idx="354">
                  <c:v>241.53</c:v>
                </c:pt>
                <c:pt idx="355">
                  <c:v>236.87</c:v>
                </c:pt>
                <c:pt idx="356">
                  <c:v>232.62</c:v>
                </c:pt>
                <c:pt idx="357">
                  <c:v>227.65</c:v>
                </c:pt>
                <c:pt idx="358">
                  <c:v>227.63</c:v>
                </c:pt>
                <c:pt idx="359">
                  <c:v>233.22</c:v>
                </c:pt>
                <c:pt idx="360">
                  <c:v>232.47</c:v>
                </c:pt>
                <c:pt idx="361">
                  <c:v>232.8</c:v>
                </c:pt>
                <c:pt idx="362">
                  <c:v>228.01</c:v>
                </c:pt>
                <c:pt idx="363">
                  <c:v>236</c:v>
                </c:pt>
                <c:pt idx="364">
                  <c:v>237.59</c:v>
                </c:pt>
                <c:pt idx="365">
                  <c:v>239.36</c:v>
                </c:pt>
                <c:pt idx="366">
                  <c:v>238.26</c:v>
                </c:pt>
                <c:pt idx="367">
                  <c:v>229.86</c:v>
                </c:pt>
                <c:pt idx="368">
                  <c:v>222.78</c:v>
                </c:pt>
                <c:pt idx="369">
                  <c:v>223.66</c:v>
                </c:pt>
                <c:pt idx="370">
                  <c:v>223.83</c:v>
                </c:pt>
                <c:pt idx="371">
                  <c:v>222.64</c:v>
                </c:pt>
                <c:pt idx="372">
                  <c:v>229.98</c:v>
                </c:pt>
                <c:pt idx="373">
                  <c:v>228.26</c:v>
                </c:pt>
                <c:pt idx="374">
                  <c:v>237.87</c:v>
                </c:pt>
                <c:pt idx="375">
                  <c:v>233.28</c:v>
                </c:pt>
                <c:pt idx="376">
                  <c:v>234.4</c:v>
                </c:pt>
                <c:pt idx="377">
                  <c:v>236.85</c:v>
                </c:pt>
                <c:pt idx="378">
                  <c:v>242.7</c:v>
                </c:pt>
                <c:pt idx="379">
                  <c:v>242.21</c:v>
                </c:pt>
                <c:pt idx="380">
                  <c:v>245</c:v>
                </c:pt>
                <c:pt idx="381">
                  <c:v>243.36</c:v>
                </c:pt>
                <c:pt idx="382">
                  <c:v>243.85</c:v>
                </c:pt>
                <c:pt idx="383">
                  <c:v>250.42</c:v>
                </c:pt>
                <c:pt idx="384">
                  <c:v>252.2</c:v>
                </c:pt>
                <c:pt idx="385">
                  <c:v>255.59</c:v>
                </c:pt>
                <c:pt idx="386">
                  <c:v>259.02</c:v>
                </c:pt>
                <c:pt idx="387">
                  <c:v>258.2</c:v>
                </c:pt>
                <c:pt idx="388">
                  <c:v>255.27</c:v>
                </c:pt>
                <c:pt idx="389">
                  <c:v>254.49</c:v>
                </c:pt>
                <c:pt idx="390">
                  <c:v>249.79</c:v>
                </c:pt>
                <c:pt idx="391">
                  <c:v>248.05</c:v>
                </c:pt>
                <c:pt idx="392">
                  <c:v>253.48</c:v>
                </c:pt>
                <c:pt idx="393">
                  <c:v>251.04</c:v>
                </c:pt>
                <c:pt idx="394">
                  <c:v>248.13</c:v>
                </c:pt>
                <c:pt idx="395">
                  <c:v>247.96</c:v>
                </c:pt>
                <c:pt idx="396">
                  <c:v>246.49</c:v>
                </c:pt>
                <c:pt idx="397">
                  <c:v>247.77</c:v>
                </c:pt>
                <c:pt idx="398">
                  <c:v>246.75</c:v>
                </c:pt>
                <c:pt idx="399">
                  <c:v>242.84</c:v>
                </c:pt>
                <c:pt idx="400">
                  <c:v>243.04</c:v>
                </c:pt>
                <c:pt idx="401">
                  <c:v>243.01</c:v>
                </c:pt>
                <c:pt idx="402">
                  <c:v>242.65</c:v>
                </c:pt>
                <c:pt idx="403">
                  <c:v>239.59</c:v>
                </c:pt>
                <c:pt idx="404">
                  <c:v>237.33</c:v>
                </c:pt>
                <c:pt idx="405">
                  <c:v>234.93</c:v>
                </c:pt>
                <c:pt idx="406">
                  <c:v>235.06</c:v>
                </c:pt>
                <c:pt idx="407">
                  <c:v>232.87</c:v>
                </c:pt>
                <c:pt idx="408">
                  <c:v>229.87</c:v>
                </c:pt>
                <c:pt idx="409">
                  <c:v>228.52</c:v>
                </c:pt>
                <c:pt idx="410">
                  <c:v>229</c:v>
                </c:pt>
                <c:pt idx="411">
                  <c:v>228.28</c:v>
                </c:pt>
                <c:pt idx="412">
                  <c:v>228.02</c:v>
                </c:pt>
                <c:pt idx="413">
                  <c:v>225</c:v>
                </c:pt>
                <c:pt idx="414">
                  <c:v>228.22</c:v>
                </c:pt>
                <c:pt idx="415">
                  <c:v>225.12</c:v>
                </c:pt>
                <c:pt idx="416">
                  <c:v>224.23</c:v>
                </c:pt>
                <c:pt idx="417">
                  <c:v>224.23</c:v>
                </c:pt>
                <c:pt idx="418">
                  <c:v>226.96</c:v>
                </c:pt>
                <c:pt idx="419">
                  <c:v>227.48</c:v>
                </c:pt>
                <c:pt idx="420">
                  <c:v>222.72</c:v>
                </c:pt>
                <c:pt idx="421">
                  <c:v>223.45</c:v>
                </c:pt>
                <c:pt idx="422">
                  <c:v>222.01</c:v>
                </c:pt>
                <c:pt idx="423">
                  <c:v>222.91</c:v>
                </c:pt>
                <c:pt idx="424">
                  <c:v>225.91</c:v>
                </c:pt>
                <c:pt idx="425">
                  <c:v>230.1</c:v>
                </c:pt>
                <c:pt idx="426">
                  <c:v>233.67</c:v>
                </c:pt>
                <c:pt idx="427">
                  <c:v>233.4</c:v>
                </c:pt>
                <c:pt idx="428">
                  <c:v>231.41</c:v>
                </c:pt>
                <c:pt idx="429">
                  <c:v>230.57</c:v>
                </c:pt>
                <c:pt idx="430">
                  <c:v>230.76</c:v>
                </c:pt>
                <c:pt idx="431">
                  <c:v>235.86</c:v>
                </c:pt>
                <c:pt idx="432">
                  <c:v>236.48</c:v>
                </c:pt>
                <c:pt idx="433">
                  <c:v>235</c:v>
                </c:pt>
                <c:pt idx="434">
                  <c:v>232.15</c:v>
                </c:pt>
                <c:pt idx="435">
                  <c:v>231.78</c:v>
                </c:pt>
                <c:pt idx="436">
                  <c:v>233.85</c:v>
                </c:pt>
                <c:pt idx="437">
                  <c:v>231.3</c:v>
                </c:pt>
                <c:pt idx="438">
                  <c:v>227.55</c:v>
                </c:pt>
                <c:pt idx="439">
                  <c:v>229.04</c:v>
                </c:pt>
                <c:pt idx="440">
                  <c:v>229.54</c:v>
                </c:pt>
                <c:pt idx="441">
                  <c:v>225.77</c:v>
                </c:pt>
                <c:pt idx="442">
                  <c:v>221.69</c:v>
                </c:pt>
                <c:pt idx="443">
                  <c:v>226.8</c:v>
                </c:pt>
                <c:pt idx="444">
                  <c:v>225.67</c:v>
                </c:pt>
                <c:pt idx="445">
                  <c:v>226.78</c:v>
                </c:pt>
                <c:pt idx="446">
                  <c:v>226.21</c:v>
                </c:pt>
                <c:pt idx="447">
                  <c:v>233</c:v>
                </c:pt>
                <c:pt idx="448">
                  <c:v>227.79</c:v>
                </c:pt>
                <c:pt idx="449">
                  <c:v>227.52</c:v>
                </c:pt>
                <c:pt idx="450">
                  <c:v>226.37</c:v>
                </c:pt>
                <c:pt idx="451">
                  <c:v>227.37</c:v>
                </c:pt>
                <c:pt idx="452">
                  <c:v>226.47</c:v>
                </c:pt>
                <c:pt idx="453">
                  <c:v>228.2</c:v>
                </c:pt>
                <c:pt idx="454">
                  <c:v>228.87</c:v>
                </c:pt>
                <c:pt idx="455">
                  <c:v>220.69</c:v>
                </c:pt>
                <c:pt idx="456">
                  <c:v>216.79</c:v>
                </c:pt>
                <c:pt idx="457">
                  <c:v>216.32</c:v>
                </c:pt>
                <c:pt idx="458">
                  <c:v>222.5</c:v>
                </c:pt>
                <c:pt idx="459">
                  <c:v>222.77</c:v>
                </c:pt>
                <c:pt idx="460">
                  <c:v>222.66</c:v>
                </c:pt>
                <c:pt idx="461">
                  <c:v>220.11</c:v>
                </c:pt>
                <c:pt idx="462">
                  <c:v>220.91</c:v>
                </c:pt>
                <c:pt idx="463">
                  <c:v>220.82</c:v>
                </c:pt>
                <c:pt idx="464">
                  <c:v>222.38</c:v>
                </c:pt>
                <c:pt idx="465">
                  <c:v>220.85</c:v>
                </c:pt>
                <c:pt idx="466">
                  <c:v>222.77</c:v>
                </c:pt>
                <c:pt idx="467">
                  <c:v>229</c:v>
                </c:pt>
                <c:pt idx="468">
                  <c:v>229.79</c:v>
                </c:pt>
                <c:pt idx="469">
                  <c:v>226.49</c:v>
                </c:pt>
                <c:pt idx="470">
                  <c:v>228.03</c:v>
                </c:pt>
                <c:pt idx="471">
                  <c:v>227.18</c:v>
                </c:pt>
                <c:pt idx="472">
                  <c:v>226.84</c:v>
                </c:pt>
                <c:pt idx="473">
                  <c:v>224.53</c:v>
                </c:pt>
                <c:pt idx="474">
                  <c:v>226.4</c:v>
                </c:pt>
                <c:pt idx="475">
                  <c:v>226.51</c:v>
                </c:pt>
                <c:pt idx="476">
                  <c:v>225.89</c:v>
                </c:pt>
                <c:pt idx="477">
                  <c:v>226.05</c:v>
                </c:pt>
                <c:pt idx="478">
                  <c:v>224.72</c:v>
                </c:pt>
                <c:pt idx="479">
                  <c:v>221.72</c:v>
                </c:pt>
                <c:pt idx="480">
                  <c:v>221.27</c:v>
                </c:pt>
                <c:pt idx="481">
                  <c:v>217.53</c:v>
                </c:pt>
                <c:pt idx="482">
                  <c:v>216.24</c:v>
                </c:pt>
                <c:pt idx="483">
                  <c:v>213.31</c:v>
                </c:pt>
                <c:pt idx="484">
                  <c:v>209.82</c:v>
                </c:pt>
                <c:pt idx="485">
                  <c:v>207.23</c:v>
                </c:pt>
                <c:pt idx="486">
                  <c:v>209.27</c:v>
                </c:pt>
                <c:pt idx="487">
                  <c:v>219.86</c:v>
                </c:pt>
                <c:pt idx="488">
                  <c:v>218.36</c:v>
                </c:pt>
                <c:pt idx="489">
                  <c:v>222.08</c:v>
                </c:pt>
                <c:pt idx="490">
                  <c:v>218.8</c:v>
                </c:pt>
                <c:pt idx="491">
                  <c:v>218.24</c:v>
                </c:pt>
                <c:pt idx="492">
                  <c:v>217.96</c:v>
                </c:pt>
                <c:pt idx="493">
                  <c:v>217.49</c:v>
                </c:pt>
                <c:pt idx="494">
                  <c:v>218.54</c:v>
                </c:pt>
                <c:pt idx="495">
                  <c:v>225.01</c:v>
                </c:pt>
                <c:pt idx="496">
                  <c:v>223.96</c:v>
                </c:pt>
                <c:pt idx="497">
                  <c:v>224.31</c:v>
                </c:pt>
                <c:pt idx="498">
                  <c:v>224.18</c:v>
                </c:pt>
                <c:pt idx="499">
                  <c:v>228.88</c:v>
                </c:pt>
                <c:pt idx="500">
                  <c:v>234.82</c:v>
                </c:pt>
                <c:pt idx="501">
                  <c:v>234.4</c:v>
                </c:pt>
                <c:pt idx="502">
                  <c:v>230.54</c:v>
                </c:pt>
                <c:pt idx="503">
                  <c:v>227.57</c:v>
                </c:pt>
                <c:pt idx="504">
                  <c:v>232.98</c:v>
                </c:pt>
                <c:pt idx="505">
                  <c:v>228.68</c:v>
                </c:pt>
                <c:pt idx="506">
                  <c:v>227.82</c:v>
                </c:pt>
                <c:pt idx="507">
                  <c:v>226.34</c:v>
                </c:pt>
                <c:pt idx="508">
                  <c:v>221.55</c:v>
                </c:pt>
                <c:pt idx="509">
                  <c:v>220.27</c:v>
                </c:pt>
                <c:pt idx="510">
                  <c:v>216.75</c:v>
                </c:pt>
                <c:pt idx="511">
                  <c:v>210.62</c:v>
                </c:pt>
                <c:pt idx="512">
                  <c:v>214.1</c:v>
                </c:pt>
                <c:pt idx="513">
                  <c:v>213.25</c:v>
                </c:pt>
                <c:pt idx="514">
                  <c:v>209.07</c:v>
                </c:pt>
                <c:pt idx="515">
                  <c:v>208.14</c:v>
                </c:pt>
                <c:pt idx="516">
                  <c:v>207.49</c:v>
                </c:pt>
                <c:pt idx="517">
                  <c:v>209.68</c:v>
                </c:pt>
                <c:pt idx="518">
                  <c:v>214.29</c:v>
                </c:pt>
                <c:pt idx="519">
                  <c:v>216.67</c:v>
                </c:pt>
                <c:pt idx="520">
                  <c:v>212.49</c:v>
                </c:pt>
                <c:pt idx="521">
                  <c:v>214.24</c:v>
                </c:pt>
                <c:pt idx="522">
                  <c:v>213.07</c:v>
                </c:pt>
                <c:pt idx="523">
                  <c:v>207.15</c:v>
                </c:pt>
                <c:pt idx="524">
                  <c:v>193.12</c:v>
                </c:pt>
                <c:pt idx="525">
                  <c:v>196.89</c:v>
                </c:pt>
                <c:pt idx="526">
                  <c:v>194.48</c:v>
                </c:pt>
                <c:pt idx="527">
                  <c:v>195.87</c:v>
                </c:pt>
                <c:pt idx="528">
                  <c:v>194.35</c:v>
                </c:pt>
                <c:pt idx="529">
                  <c:v>194.03</c:v>
                </c:pt>
                <c:pt idx="530">
                  <c:v>192.25</c:v>
                </c:pt>
                <c:pt idx="531">
                  <c:v>191.29</c:v>
                </c:pt>
                <c:pt idx="532">
                  <c:v>190.29</c:v>
                </c:pt>
                <c:pt idx="533">
                  <c:v>189.99</c:v>
                </c:pt>
                <c:pt idx="534">
                  <c:v>189.98</c:v>
                </c:pt>
                <c:pt idx="535">
                  <c:v>186.88</c:v>
                </c:pt>
                <c:pt idx="536">
                  <c:v>190.9</c:v>
                </c:pt>
                <c:pt idx="537">
                  <c:v>192.35</c:v>
                </c:pt>
                <c:pt idx="538">
                  <c:v>191.04</c:v>
                </c:pt>
                <c:pt idx="539">
                  <c:v>189.87</c:v>
                </c:pt>
                <c:pt idx="540">
                  <c:v>189.84</c:v>
                </c:pt>
                <c:pt idx="541">
                  <c:v>189.72</c:v>
                </c:pt>
                <c:pt idx="542">
                  <c:v>187.43</c:v>
                </c:pt>
                <c:pt idx="543">
                  <c:v>186.28</c:v>
                </c:pt>
                <c:pt idx="544">
                  <c:v>183.05</c:v>
                </c:pt>
                <c:pt idx="545">
                  <c:v>184.57</c:v>
                </c:pt>
                <c:pt idx="546">
                  <c:v>182.74</c:v>
                </c:pt>
                <c:pt idx="547">
                  <c:v>182.4</c:v>
                </c:pt>
                <c:pt idx="548">
                  <c:v>181.71</c:v>
                </c:pt>
                <c:pt idx="549">
                  <c:v>183.38</c:v>
                </c:pt>
                <c:pt idx="550">
                  <c:v>173.03</c:v>
                </c:pt>
                <c:pt idx="551">
                  <c:v>169.3</c:v>
                </c:pt>
                <c:pt idx="552">
                  <c:v>170.33</c:v>
                </c:pt>
                <c:pt idx="553">
                  <c:v>173.5</c:v>
                </c:pt>
                <c:pt idx="554">
                  <c:v>169.3</c:v>
                </c:pt>
                <c:pt idx="555">
                  <c:v>169.89</c:v>
                </c:pt>
                <c:pt idx="556">
                  <c:v>169.02</c:v>
                </c:pt>
                <c:pt idx="557">
                  <c:v>166.9</c:v>
                </c:pt>
                <c:pt idx="558">
                  <c:v>165.84</c:v>
                </c:pt>
                <c:pt idx="559">
                  <c:v>165</c:v>
                </c:pt>
                <c:pt idx="560">
                  <c:v>167.04</c:v>
                </c:pt>
                <c:pt idx="561">
                  <c:v>168</c:v>
                </c:pt>
                <c:pt idx="562">
                  <c:v>169.38</c:v>
                </c:pt>
                <c:pt idx="563">
                  <c:v>172.69</c:v>
                </c:pt>
                <c:pt idx="564">
                  <c:v>176.55</c:v>
                </c:pt>
                <c:pt idx="565">
                  <c:v>175.04</c:v>
                </c:pt>
                <c:pt idx="566">
                  <c:v>167.78</c:v>
                </c:pt>
                <c:pt idx="567">
                  <c:v>169.67</c:v>
                </c:pt>
                <c:pt idx="568">
                  <c:v>168.45</c:v>
                </c:pt>
                <c:pt idx="569">
                  <c:v>169.58</c:v>
                </c:pt>
                <c:pt idx="570">
                  <c:v>168.82</c:v>
                </c:pt>
                <c:pt idx="571">
                  <c:v>169.65</c:v>
                </c:pt>
                <c:pt idx="572">
                  <c:v>168.84</c:v>
                </c:pt>
                <c:pt idx="573">
                  <c:v>170.03</c:v>
                </c:pt>
                <c:pt idx="574">
                  <c:v>171.48</c:v>
                </c:pt>
                <c:pt idx="575">
                  <c:v>173.31</c:v>
                </c:pt>
                <c:pt idx="576">
                  <c:v>169.71</c:v>
                </c:pt>
                <c:pt idx="577">
                  <c:v>170.85</c:v>
                </c:pt>
                <c:pt idx="578">
                  <c:v>172.28</c:v>
                </c:pt>
                <c:pt idx="579">
                  <c:v>171.37</c:v>
                </c:pt>
                <c:pt idx="580">
                  <c:v>178.67</c:v>
                </c:pt>
                <c:pt idx="581">
                  <c:v>176.08</c:v>
                </c:pt>
                <c:pt idx="582">
                  <c:v>173.72</c:v>
                </c:pt>
                <c:pt idx="583">
                  <c:v>172.62</c:v>
                </c:pt>
                <c:pt idx="584">
                  <c:v>173</c:v>
                </c:pt>
                <c:pt idx="585">
                  <c:v>171.13</c:v>
                </c:pt>
                <c:pt idx="586">
                  <c:v>173.23</c:v>
                </c:pt>
                <c:pt idx="587">
                  <c:v>172.75</c:v>
                </c:pt>
                <c:pt idx="588">
                  <c:v>170.73</c:v>
                </c:pt>
                <c:pt idx="589">
                  <c:v>169</c:v>
                </c:pt>
                <c:pt idx="590">
                  <c:v>169.12</c:v>
                </c:pt>
                <c:pt idx="591">
                  <c:v>170.12</c:v>
                </c:pt>
                <c:pt idx="592">
                  <c:v>175.1</c:v>
                </c:pt>
                <c:pt idx="593">
                  <c:v>179.66</c:v>
                </c:pt>
                <c:pt idx="594">
                  <c:v>180.75</c:v>
                </c:pt>
                <c:pt idx="595">
                  <c:v>181.42</c:v>
                </c:pt>
                <c:pt idx="596">
                  <c:v>182.63</c:v>
                </c:pt>
                <c:pt idx="597">
                  <c:v>181.16</c:v>
                </c:pt>
                <c:pt idx="598">
                  <c:v>182.52</c:v>
                </c:pt>
                <c:pt idx="599">
                  <c:v>184.37</c:v>
                </c:pt>
                <c:pt idx="600">
                  <c:v>182.32</c:v>
                </c:pt>
                <c:pt idx="601">
                  <c:v>181.56</c:v>
                </c:pt>
                <c:pt idx="602">
                  <c:v>182.31</c:v>
                </c:pt>
                <c:pt idx="603">
                  <c:v>183.86</c:v>
                </c:pt>
                <c:pt idx="604">
                  <c:v>184.15</c:v>
                </c:pt>
                <c:pt idx="605">
                  <c:v>185.04</c:v>
                </c:pt>
                <c:pt idx="606">
                  <c:v>187.15</c:v>
                </c:pt>
                <c:pt idx="607">
                  <c:v>188.85</c:v>
                </c:pt>
                <c:pt idx="608">
                  <c:v>188.32</c:v>
                </c:pt>
                <c:pt idx="609">
                  <c:v>189.41</c:v>
                </c:pt>
                <c:pt idx="610">
                  <c:v>189.3</c:v>
                </c:pt>
                <c:pt idx="611">
                  <c:v>187.68</c:v>
                </c:pt>
                <c:pt idx="612">
                  <c:v>185.85</c:v>
                </c:pt>
                <c:pt idx="613">
                  <c:v>186.86</c:v>
                </c:pt>
                <c:pt idx="614">
                  <c:v>184.4</c:v>
                </c:pt>
                <c:pt idx="615">
                  <c:v>188.04</c:v>
                </c:pt>
                <c:pt idx="616">
                  <c:v>191.73</c:v>
                </c:pt>
                <c:pt idx="617">
                  <c:v>192.42</c:v>
                </c:pt>
                <c:pt idx="618">
                  <c:v>194.17</c:v>
                </c:pt>
                <c:pt idx="619">
                  <c:v>194.5</c:v>
                </c:pt>
                <c:pt idx="620">
                  <c:v>195.18</c:v>
                </c:pt>
                <c:pt idx="621">
                  <c:v>193.89</c:v>
                </c:pt>
                <c:pt idx="622">
                  <c:v>191.56</c:v>
                </c:pt>
                <c:pt idx="623">
                  <c:v>188.63</c:v>
                </c:pt>
                <c:pt idx="624">
                  <c:v>182.68</c:v>
                </c:pt>
                <c:pt idx="625">
                  <c:v>183.63</c:v>
                </c:pt>
                <c:pt idx="626">
                  <c:v>185.92</c:v>
                </c:pt>
                <c:pt idx="627">
                  <c:v>185.59</c:v>
                </c:pt>
                <c:pt idx="628">
                  <c:v>186.19</c:v>
                </c:pt>
                <c:pt idx="629">
                  <c:v>185.14</c:v>
                </c:pt>
                <c:pt idx="630">
                  <c:v>185.56</c:v>
                </c:pt>
                <c:pt idx="631">
                  <c:v>181.18</c:v>
                </c:pt>
                <c:pt idx="632">
                  <c:v>181.91</c:v>
                </c:pt>
                <c:pt idx="633">
                  <c:v>184.25</c:v>
                </c:pt>
                <c:pt idx="634">
                  <c:v>185.64</c:v>
                </c:pt>
                <c:pt idx="635">
                  <c:v>192.53</c:v>
                </c:pt>
                <c:pt idx="636">
                  <c:v>193.58</c:v>
                </c:pt>
                <c:pt idx="637">
                  <c:v>193.15</c:v>
                </c:pt>
                <c:pt idx="638">
                  <c:v>193.05</c:v>
                </c:pt>
                <c:pt idx="639">
                  <c:v>193.6</c:v>
                </c:pt>
                <c:pt idx="640">
                  <c:v>194.68</c:v>
                </c:pt>
                <c:pt idx="641">
                  <c:v>194.83</c:v>
                </c:pt>
                <c:pt idx="642">
                  <c:v>196.94</c:v>
                </c:pt>
                <c:pt idx="643">
                  <c:v>195.89</c:v>
                </c:pt>
                <c:pt idx="644">
                  <c:v>197.57</c:v>
                </c:pt>
                <c:pt idx="645">
                  <c:v>198.11</c:v>
                </c:pt>
                <c:pt idx="646">
                  <c:v>197.96</c:v>
                </c:pt>
                <c:pt idx="647">
                  <c:v>194.71</c:v>
                </c:pt>
                <c:pt idx="648">
                  <c:v>193.18</c:v>
                </c:pt>
                <c:pt idx="649">
                  <c:v>195.71</c:v>
                </c:pt>
                <c:pt idx="650">
                  <c:v>194.27</c:v>
                </c:pt>
                <c:pt idx="651">
                  <c:v>192.32</c:v>
                </c:pt>
                <c:pt idx="652">
                  <c:v>193.42</c:v>
                </c:pt>
                <c:pt idx="653">
                  <c:v>189.43</c:v>
                </c:pt>
                <c:pt idx="654">
                  <c:v>191.24</c:v>
                </c:pt>
                <c:pt idx="655">
                  <c:v>189.95</c:v>
                </c:pt>
                <c:pt idx="656">
                  <c:v>189.37</c:v>
                </c:pt>
                <c:pt idx="657">
                  <c:v>190.4</c:v>
                </c:pt>
                <c:pt idx="658">
                  <c:v>189.79</c:v>
                </c:pt>
                <c:pt idx="659">
                  <c:v>189.97</c:v>
                </c:pt>
                <c:pt idx="660">
                  <c:v>191.31</c:v>
                </c:pt>
                <c:pt idx="661">
                  <c:v>190.64</c:v>
                </c:pt>
                <c:pt idx="662">
                  <c:v>191.45</c:v>
                </c:pt>
                <c:pt idx="663">
                  <c:v>189.69</c:v>
                </c:pt>
                <c:pt idx="664">
                  <c:v>189.71</c:v>
                </c:pt>
                <c:pt idx="665">
                  <c:v>188.01</c:v>
                </c:pt>
                <c:pt idx="666">
                  <c:v>187.44</c:v>
                </c:pt>
                <c:pt idx="667">
                  <c:v>184.8</c:v>
                </c:pt>
                <c:pt idx="668">
                  <c:v>186.4</c:v>
                </c:pt>
                <c:pt idx="669">
                  <c:v>182.41</c:v>
                </c:pt>
                <c:pt idx="670">
                  <c:v>182.89</c:v>
                </c:pt>
                <c:pt idx="671">
                  <c:v>181.82</c:v>
                </c:pt>
                <c:pt idx="672">
                  <c:v>179.23</c:v>
                </c:pt>
                <c:pt idx="673">
                  <c:v>176.65</c:v>
                </c:pt>
                <c:pt idx="674">
                  <c:v>177.57</c:v>
                </c:pt>
                <c:pt idx="675">
                  <c:v>173.97</c:v>
                </c:pt>
                <c:pt idx="676">
                  <c:v>170.77</c:v>
                </c:pt>
                <c:pt idx="677">
                  <c:v>170.29</c:v>
                </c:pt>
                <c:pt idx="678">
                  <c:v>168.22</c:v>
                </c:pt>
                <c:pt idx="679">
                  <c:v>166.89</c:v>
                </c:pt>
                <c:pt idx="680">
                  <c:v>171.1</c:v>
                </c:pt>
                <c:pt idx="681">
                  <c:v>173.44</c:v>
                </c:pt>
                <c:pt idx="682">
                  <c:v>173</c:v>
                </c:pt>
                <c:pt idx="683">
                  <c:v>172.88</c:v>
                </c:pt>
                <c:pt idx="684">
                  <c:v>175.46</c:v>
                </c:pt>
                <c:pt idx="685">
                  <c:v>175.84</c:v>
                </c:pt>
                <c:pt idx="686">
                  <c:v>177.15</c:v>
                </c:pt>
                <c:pt idx="687">
                  <c:v>178.72</c:v>
                </c:pt>
                <c:pt idx="688">
                  <c:v>178.85</c:v>
                </c:pt>
                <c:pt idx="689">
                  <c:v>180.71</c:v>
                </c:pt>
                <c:pt idx="690">
                  <c:v>179.8</c:v>
                </c:pt>
                <c:pt idx="691">
                  <c:v>178.39</c:v>
                </c:pt>
                <c:pt idx="692">
                  <c:v>178.99</c:v>
                </c:pt>
                <c:pt idx="693">
                  <c:v>177.49</c:v>
                </c:pt>
                <c:pt idx="694">
                  <c:v>174.91</c:v>
                </c:pt>
                <c:pt idx="695">
                  <c:v>173.66</c:v>
                </c:pt>
                <c:pt idx="696">
                  <c:v>172.4</c:v>
                </c:pt>
                <c:pt idx="697">
                  <c:v>173.75</c:v>
                </c:pt>
                <c:pt idx="698">
                  <c:v>171.21</c:v>
                </c:pt>
                <c:pt idx="699">
                  <c:v>170.69</c:v>
                </c:pt>
                <c:pt idx="700">
                  <c:v>170.43</c:v>
                </c:pt>
                <c:pt idx="701">
                  <c:v>171.96</c:v>
                </c:pt>
                <c:pt idx="702">
                  <c:v>176.08</c:v>
                </c:pt>
                <c:pt idx="703">
                  <c:v>174.79</c:v>
                </c:pt>
                <c:pt idx="704">
                  <c:v>173.93</c:v>
                </c:pt>
                <c:pt idx="705">
                  <c:v>175.49</c:v>
                </c:pt>
                <c:pt idx="706">
                  <c:v>179.07</c:v>
                </c:pt>
                <c:pt idx="707">
                  <c:v>177.97</c:v>
                </c:pt>
                <c:pt idx="708">
                  <c:v>175.01</c:v>
                </c:pt>
                <c:pt idx="709">
                  <c:v>175.74</c:v>
                </c:pt>
                <c:pt idx="710">
                  <c:v>174.21</c:v>
                </c:pt>
                <c:pt idx="711">
                  <c:v>176.3</c:v>
                </c:pt>
                <c:pt idx="712">
                  <c:v>179.36</c:v>
                </c:pt>
                <c:pt idx="713">
                  <c:v>178.18</c:v>
                </c:pt>
                <c:pt idx="714">
                  <c:v>177.56</c:v>
                </c:pt>
                <c:pt idx="715">
                  <c:v>182.91</c:v>
                </c:pt>
                <c:pt idx="716">
                  <c:v>189.7</c:v>
                </c:pt>
                <c:pt idx="717">
                  <c:v>189.46</c:v>
                </c:pt>
                <c:pt idx="718">
                  <c:v>187.87</c:v>
                </c:pt>
                <c:pt idx="719">
                  <c:v>187.65</c:v>
                </c:pt>
                <c:pt idx="720">
                  <c:v>184.12</c:v>
                </c:pt>
                <c:pt idx="721">
                  <c:v>180.19</c:v>
                </c:pt>
                <c:pt idx="722">
                  <c:v>178.61</c:v>
                </c:pt>
                <c:pt idx="723">
                  <c:v>176.38</c:v>
                </c:pt>
                <c:pt idx="724">
                  <c:v>181.12</c:v>
                </c:pt>
                <c:pt idx="725">
                  <c:v>177.23</c:v>
                </c:pt>
                <c:pt idx="726">
                  <c:v>175.84</c:v>
                </c:pt>
                <c:pt idx="727">
                  <c:v>174.49</c:v>
                </c:pt>
                <c:pt idx="728">
                  <c:v>174</c:v>
                </c:pt>
                <c:pt idx="729">
                  <c:v>176.57</c:v>
                </c:pt>
                <c:pt idx="730">
                  <c:v>177.45</c:v>
                </c:pt>
                <c:pt idx="731">
                  <c:v>179.46</c:v>
                </c:pt>
                <c:pt idx="732">
                  <c:v>177.79</c:v>
                </c:pt>
                <c:pt idx="733">
                  <c:v>177.97</c:v>
                </c:pt>
                <c:pt idx="734">
                  <c:v>178.19</c:v>
                </c:pt>
                <c:pt idx="735">
                  <c:v>179.8</c:v>
                </c:pt>
                <c:pt idx="736">
                  <c:v>178.85</c:v>
                </c:pt>
                <c:pt idx="737">
                  <c:v>181.99</c:v>
                </c:pt>
                <c:pt idx="738">
                  <c:v>191.17</c:v>
                </c:pt>
                <c:pt idx="739">
                  <c:v>192.58</c:v>
                </c:pt>
                <c:pt idx="740">
                  <c:v>195.61</c:v>
                </c:pt>
                <c:pt idx="741">
                  <c:v>196.45</c:v>
                </c:pt>
                <c:pt idx="742">
                  <c:v>195.83</c:v>
                </c:pt>
                <c:pt idx="743">
                  <c:v>193.22</c:v>
                </c:pt>
                <c:pt idx="744">
                  <c:v>194.5</c:v>
                </c:pt>
                <c:pt idx="745">
                  <c:v>193.62</c:v>
                </c:pt>
                <c:pt idx="746">
                  <c:v>192.75</c:v>
                </c:pt>
                <c:pt idx="747">
                  <c:v>191.94</c:v>
                </c:pt>
                <c:pt idx="748">
                  <c:v>193.13</c:v>
                </c:pt>
                <c:pt idx="749">
                  <c:v>195.1</c:v>
                </c:pt>
                <c:pt idx="750">
                  <c:v>193.73</c:v>
                </c:pt>
                <c:pt idx="751">
                  <c:v>193.99</c:v>
                </c:pt>
                <c:pt idx="752">
                  <c:v>190.69</c:v>
                </c:pt>
                <c:pt idx="753">
                  <c:v>190.54</c:v>
                </c:pt>
                <c:pt idx="754">
                  <c:v>189.77</c:v>
                </c:pt>
                <c:pt idx="755">
                  <c:v>188.08</c:v>
                </c:pt>
                <c:pt idx="756">
                  <c:v>188.61</c:v>
                </c:pt>
                <c:pt idx="757">
                  <c:v>190.68</c:v>
                </c:pt>
                <c:pt idx="758">
                  <c:v>191.81</c:v>
                </c:pt>
                <c:pt idx="759">
                  <c:v>191.33</c:v>
                </c:pt>
                <c:pt idx="760">
                  <c:v>192.46</c:v>
                </c:pt>
                <c:pt idx="761">
                  <c:v>193.97</c:v>
                </c:pt>
                <c:pt idx="762">
                  <c:v>189.59</c:v>
                </c:pt>
                <c:pt idx="763">
                  <c:v>189.25</c:v>
                </c:pt>
                <c:pt idx="764">
                  <c:v>188.06</c:v>
                </c:pt>
                <c:pt idx="765">
                  <c:v>185.27</c:v>
                </c:pt>
                <c:pt idx="766">
                  <c:v>186.68</c:v>
                </c:pt>
                <c:pt idx="767">
                  <c:v>187</c:v>
                </c:pt>
                <c:pt idx="768">
                  <c:v>183.96</c:v>
                </c:pt>
                <c:pt idx="769">
                  <c:v>185.01</c:v>
                </c:pt>
                <c:pt idx="770">
                  <c:v>184.92</c:v>
                </c:pt>
                <c:pt idx="771">
                  <c:v>186.01</c:v>
                </c:pt>
                <c:pt idx="772">
                  <c:v>183.95</c:v>
                </c:pt>
                <c:pt idx="773">
                  <c:v>183.31</c:v>
                </c:pt>
                <c:pt idx="774">
                  <c:v>183.79</c:v>
                </c:pt>
                <c:pt idx="775">
                  <c:v>180.96</c:v>
                </c:pt>
                <c:pt idx="776">
                  <c:v>180.57</c:v>
                </c:pt>
                <c:pt idx="777">
                  <c:v>177.82</c:v>
                </c:pt>
                <c:pt idx="778">
                  <c:v>179.21</c:v>
                </c:pt>
                <c:pt idx="779">
                  <c:v>179.58</c:v>
                </c:pt>
                <c:pt idx="780">
                  <c:v>180.95</c:v>
                </c:pt>
                <c:pt idx="781">
                  <c:v>180.09</c:v>
                </c:pt>
                <c:pt idx="782">
                  <c:v>177.25</c:v>
                </c:pt>
                <c:pt idx="783">
                  <c:v>177.3</c:v>
                </c:pt>
                <c:pt idx="784">
                  <c:v>175.43</c:v>
                </c:pt>
                <c:pt idx="785">
                  <c:v>172.99</c:v>
                </c:pt>
                <c:pt idx="786">
                  <c:v>171.84</c:v>
                </c:pt>
                <c:pt idx="787">
                  <c:v>171.56</c:v>
                </c:pt>
                <c:pt idx="788">
                  <c:v>174.2</c:v>
                </c:pt>
                <c:pt idx="789">
                  <c:v>175.16</c:v>
                </c:pt>
                <c:pt idx="790">
                  <c:v>175.05</c:v>
                </c:pt>
                <c:pt idx="791">
                  <c:v>172.69</c:v>
                </c:pt>
                <c:pt idx="792">
                  <c:v>172.07</c:v>
                </c:pt>
                <c:pt idx="793">
                  <c:v>172.07</c:v>
                </c:pt>
                <c:pt idx="794">
                  <c:v>172.57</c:v>
                </c:pt>
                <c:pt idx="795">
                  <c:v>173.75</c:v>
                </c:pt>
                <c:pt idx="796">
                  <c:v>173.56</c:v>
                </c:pt>
                <c:pt idx="797">
                  <c:v>171.77</c:v>
                </c:pt>
                <c:pt idx="798">
                  <c:v>173.5</c:v>
                </c:pt>
                <c:pt idx="799">
                  <c:v>173.57</c:v>
                </c:pt>
                <c:pt idx="800">
                  <c:v>165.79</c:v>
                </c:pt>
                <c:pt idx="801">
                  <c:v>167.45</c:v>
                </c:pt>
                <c:pt idx="802">
                  <c:v>168.54</c:v>
                </c:pt>
                <c:pt idx="803">
                  <c:v>169.59</c:v>
                </c:pt>
                <c:pt idx="804">
                  <c:v>169.68</c:v>
                </c:pt>
                <c:pt idx="805">
                  <c:v>168.41</c:v>
                </c:pt>
                <c:pt idx="806">
                  <c:v>163.76</c:v>
                </c:pt>
                <c:pt idx="807">
                  <c:v>163.77000000000001</c:v>
                </c:pt>
                <c:pt idx="808">
                  <c:v>165.33</c:v>
                </c:pt>
                <c:pt idx="809">
                  <c:v>165.02</c:v>
                </c:pt>
                <c:pt idx="810">
                  <c:v>166.65</c:v>
                </c:pt>
                <c:pt idx="811">
                  <c:v>167.63</c:v>
                </c:pt>
                <c:pt idx="812">
                  <c:v>166.47</c:v>
                </c:pt>
                <c:pt idx="813">
                  <c:v>165.23</c:v>
                </c:pt>
                <c:pt idx="814">
                  <c:v>165.21</c:v>
                </c:pt>
                <c:pt idx="815">
                  <c:v>165.56</c:v>
                </c:pt>
                <c:pt idx="816">
                  <c:v>160.1</c:v>
                </c:pt>
                <c:pt idx="817">
                  <c:v>160.80000000000001</c:v>
                </c:pt>
                <c:pt idx="818">
                  <c:v>162.03</c:v>
                </c:pt>
                <c:pt idx="819">
                  <c:v>164.66</c:v>
                </c:pt>
                <c:pt idx="820">
                  <c:v>163.76</c:v>
                </c:pt>
                <c:pt idx="821">
                  <c:v>165.63</c:v>
                </c:pt>
                <c:pt idx="822">
                  <c:v>166.17</c:v>
                </c:pt>
                <c:pt idx="823">
                  <c:v>164.9</c:v>
                </c:pt>
                <c:pt idx="824">
                  <c:v>162.36000000000001</c:v>
                </c:pt>
                <c:pt idx="825">
                  <c:v>160.77000000000001</c:v>
                </c:pt>
                <c:pt idx="826">
                  <c:v>157.65</c:v>
                </c:pt>
                <c:pt idx="827">
                  <c:v>158.28</c:v>
                </c:pt>
                <c:pt idx="828">
                  <c:v>160.25</c:v>
                </c:pt>
                <c:pt idx="829">
                  <c:v>158.93</c:v>
                </c:pt>
                <c:pt idx="830">
                  <c:v>157.83000000000001</c:v>
                </c:pt>
                <c:pt idx="831">
                  <c:v>159.28</c:v>
                </c:pt>
                <c:pt idx="832">
                  <c:v>157.4</c:v>
                </c:pt>
                <c:pt idx="833">
                  <c:v>155</c:v>
                </c:pt>
                <c:pt idx="834">
                  <c:v>155.85</c:v>
                </c:pt>
                <c:pt idx="835">
                  <c:v>152.99</c:v>
                </c:pt>
                <c:pt idx="836">
                  <c:v>152.59</c:v>
                </c:pt>
                <c:pt idx="837">
                  <c:v>150.47</c:v>
                </c:pt>
                <c:pt idx="838">
                  <c:v>148.5</c:v>
                </c:pt>
                <c:pt idx="839">
                  <c:v>150.59</c:v>
                </c:pt>
                <c:pt idx="840">
                  <c:v>152.87</c:v>
                </c:pt>
                <c:pt idx="841">
                  <c:v>151.6</c:v>
                </c:pt>
                <c:pt idx="842">
                  <c:v>153.83000000000001</c:v>
                </c:pt>
                <c:pt idx="843">
                  <c:v>151.03</c:v>
                </c:pt>
                <c:pt idx="844">
                  <c:v>145.91</c:v>
                </c:pt>
                <c:pt idx="845">
                  <c:v>145.31</c:v>
                </c:pt>
                <c:pt idx="846">
                  <c:v>147.41</c:v>
                </c:pt>
                <c:pt idx="847">
                  <c:v>147.91999999999999</c:v>
                </c:pt>
                <c:pt idx="848">
                  <c:v>146.71</c:v>
                </c:pt>
                <c:pt idx="849">
                  <c:v>149.4</c:v>
                </c:pt>
                <c:pt idx="850">
                  <c:v>148.91</c:v>
                </c:pt>
                <c:pt idx="851">
                  <c:v>148.47999999999999</c:v>
                </c:pt>
                <c:pt idx="852">
                  <c:v>152.55000000000001</c:v>
                </c:pt>
                <c:pt idx="853">
                  <c:v>153.71</c:v>
                </c:pt>
                <c:pt idx="854">
                  <c:v>155.33000000000001</c:v>
                </c:pt>
                <c:pt idx="855">
                  <c:v>153.19999999999999</c:v>
                </c:pt>
                <c:pt idx="856">
                  <c:v>153.85</c:v>
                </c:pt>
                <c:pt idx="857">
                  <c:v>151.01</c:v>
                </c:pt>
                <c:pt idx="858">
                  <c:v>150.87</c:v>
                </c:pt>
                <c:pt idx="859">
                  <c:v>151.91999999999999</c:v>
                </c:pt>
                <c:pt idx="860">
                  <c:v>154.65</c:v>
                </c:pt>
                <c:pt idx="861">
                  <c:v>151.72999999999999</c:v>
                </c:pt>
                <c:pt idx="862">
                  <c:v>154.5</c:v>
                </c:pt>
                <c:pt idx="863">
                  <c:v>150.82</c:v>
                </c:pt>
                <c:pt idx="864">
                  <c:v>145.43</c:v>
                </c:pt>
                <c:pt idx="865">
                  <c:v>144.29</c:v>
                </c:pt>
                <c:pt idx="866">
                  <c:v>143</c:v>
                </c:pt>
                <c:pt idx="867">
                  <c:v>145.93</c:v>
                </c:pt>
                <c:pt idx="868">
                  <c:v>143.96</c:v>
                </c:pt>
                <c:pt idx="869">
                  <c:v>141.86000000000001</c:v>
                </c:pt>
                <c:pt idx="870">
                  <c:v>142.53</c:v>
                </c:pt>
                <c:pt idx="871">
                  <c:v>141.11000000000001</c:v>
                </c:pt>
                <c:pt idx="872">
                  <c:v>137.87</c:v>
                </c:pt>
                <c:pt idx="873">
                  <c:v>135.27000000000001</c:v>
                </c:pt>
                <c:pt idx="874">
                  <c:v>135.21</c:v>
                </c:pt>
                <c:pt idx="875">
                  <c:v>135.94</c:v>
                </c:pt>
                <c:pt idx="876">
                  <c:v>134.76</c:v>
                </c:pt>
                <c:pt idx="877">
                  <c:v>133.41</c:v>
                </c:pt>
                <c:pt idx="878">
                  <c:v>133.49</c:v>
                </c:pt>
                <c:pt idx="879">
                  <c:v>130.72999999999999</c:v>
                </c:pt>
                <c:pt idx="880">
                  <c:v>130.15</c:v>
                </c:pt>
                <c:pt idx="881">
                  <c:v>129.62</c:v>
                </c:pt>
                <c:pt idx="882">
                  <c:v>125.02</c:v>
                </c:pt>
                <c:pt idx="883">
                  <c:v>126.36</c:v>
                </c:pt>
                <c:pt idx="884">
                  <c:v>125.07</c:v>
                </c:pt>
                <c:pt idx="885">
                  <c:v>129.93</c:v>
                </c:pt>
                <c:pt idx="886">
                  <c:v>129.61000000000001</c:v>
                </c:pt>
                <c:pt idx="887">
                  <c:v>126.04</c:v>
                </c:pt>
                <c:pt idx="888">
                  <c:v>130.03</c:v>
                </c:pt>
                <c:pt idx="889">
                  <c:v>131.86000000000001</c:v>
                </c:pt>
                <c:pt idx="890">
                  <c:v>132.22999999999999</c:v>
                </c:pt>
                <c:pt idx="891">
                  <c:v>135.44999999999999</c:v>
                </c:pt>
                <c:pt idx="892">
                  <c:v>132.30000000000001</c:v>
                </c:pt>
                <c:pt idx="893">
                  <c:v>132.37</c:v>
                </c:pt>
                <c:pt idx="894">
                  <c:v>134.51</c:v>
                </c:pt>
                <c:pt idx="895">
                  <c:v>136.5</c:v>
                </c:pt>
                <c:pt idx="896">
                  <c:v>143.21</c:v>
                </c:pt>
                <c:pt idx="897">
                  <c:v>145.47</c:v>
                </c:pt>
                <c:pt idx="898">
                  <c:v>144.49</c:v>
                </c:pt>
                <c:pt idx="899">
                  <c:v>142.16</c:v>
                </c:pt>
                <c:pt idx="900">
                  <c:v>142.65</c:v>
                </c:pt>
                <c:pt idx="901">
                  <c:v>140.94</c:v>
                </c:pt>
                <c:pt idx="902">
                  <c:v>142.91</c:v>
                </c:pt>
                <c:pt idx="903">
                  <c:v>146.63</c:v>
                </c:pt>
                <c:pt idx="904">
                  <c:v>147.81</c:v>
                </c:pt>
                <c:pt idx="905">
                  <c:v>148.31</c:v>
                </c:pt>
                <c:pt idx="906">
                  <c:v>148.03</c:v>
                </c:pt>
                <c:pt idx="907">
                  <c:v>141.16999999999999</c:v>
                </c:pt>
                <c:pt idx="908">
                  <c:v>144.22</c:v>
                </c:pt>
                <c:pt idx="909">
                  <c:v>148.11000000000001</c:v>
                </c:pt>
                <c:pt idx="910">
                  <c:v>151.07</c:v>
                </c:pt>
                <c:pt idx="911">
                  <c:v>150.18</c:v>
                </c:pt>
                <c:pt idx="912">
                  <c:v>148.01</c:v>
                </c:pt>
                <c:pt idx="913">
                  <c:v>151.29</c:v>
                </c:pt>
                <c:pt idx="914">
                  <c:v>150.72</c:v>
                </c:pt>
                <c:pt idx="915">
                  <c:v>148.79</c:v>
                </c:pt>
                <c:pt idx="916">
                  <c:v>150.04</c:v>
                </c:pt>
                <c:pt idx="917">
                  <c:v>148.28</c:v>
                </c:pt>
                <c:pt idx="918">
                  <c:v>149.69999999999999</c:v>
                </c:pt>
                <c:pt idx="919">
                  <c:v>146.87</c:v>
                </c:pt>
                <c:pt idx="920">
                  <c:v>134.87</c:v>
                </c:pt>
                <c:pt idx="921">
                  <c:v>139.5</c:v>
                </c:pt>
                <c:pt idx="922">
                  <c:v>138.91999999999999</c:v>
                </c:pt>
                <c:pt idx="923">
                  <c:v>138.38</c:v>
                </c:pt>
                <c:pt idx="924">
                  <c:v>138.88</c:v>
                </c:pt>
                <c:pt idx="925">
                  <c:v>145.03</c:v>
                </c:pt>
                <c:pt idx="926">
                  <c:v>150.65</c:v>
                </c:pt>
                <c:pt idx="927">
                  <c:v>153.34</c:v>
                </c:pt>
                <c:pt idx="928">
                  <c:v>155.74</c:v>
                </c:pt>
                <c:pt idx="929">
                  <c:v>144.80000000000001</c:v>
                </c:pt>
                <c:pt idx="930">
                  <c:v>149.35</c:v>
                </c:pt>
                <c:pt idx="931">
                  <c:v>152.34</c:v>
                </c:pt>
                <c:pt idx="932">
                  <c:v>149.44999999999999</c:v>
                </c:pt>
                <c:pt idx="933">
                  <c:v>147.27000000000001</c:v>
                </c:pt>
                <c:pt idx="934">
                  <c:v>143.38999999999999</c:v>
                </c:pt>
                <c:pt idx="935">
                  <c:v>143.86000000000001</c:v>
                </c:pt>
                <c:pt idx="936">
                  <c:v>143.75</c:v>
                </c:pt>
                <c:pt idx="937">
                  <c:v>142.41</c:v>
                </c:pt>
                <c:pt idx="938">
                  <c:v>138.38</c:v>
                </c:pt>
                <c:pt idx="939">
                  <c:v>142.99</c:v>
                </c:pt>
                <c:pt idx="940">
                  <c:v>138.34</c:v>
                </c:pt>
                <c:pt idx="941">
                  <c:v>138.97999999999999</c:v>
                </c:pt>
                <c:pt idx="942">
                  <c:v>140.41999999999999</c:v>
                </c:pt>
                <c:pt idx="943">
                  <c:v>140.09</c:v>
                </c:pt>
                <c:pt idx="944">
                  <c:v>145.43</c:v>
                </c:pt>
                <c:pt idx="945">
                  <c:v>146.4</c:v>
                </c:pt>
                <c:pt idx="946">
                  <c:v>146.1</c:v>
                </c:pt>
                <c:pt idx="947">
                  <c:v>142.44999999999999</c:v>
                </c:pt>
                <c:pt idx="948">
                  <c:v>138.19999999999999</c:v>
                </c:pt>
                <c:pt idx="949">
                  <c:v>142.47999999999999</c:v>
                </c:pt>
                <c:pt idx="950">
                  <c:v>149.84</c:v>
                </c:pt>
                <c:pt idx="951">
                  <c:v>151.76</c:v>
                </c:pt>
                <c:pt idx="952">
                  <c:v>150.77000000000001</c:v>
                </c:pt>
                <c:pt idx="953">
                  <c:v>150.43</c:v>
                </c:pt>
                <c:pt idx="954">
                  <c:v>152.74</c:v>
                </c:pt>
                <c:pt idx="955">
                  <c:v>153.72</c:v>
                </c:pt>
                <c:pt idx="956">
                  <c:v>156.9</c:v>
                </c:pt>
                <c:pt idx="957">
                  <c:v>154.47999999999999</c:v>
                </c:pt>
                <c:pt idx="958">
                  <c:v>150.69999999999999</c:v>
                </c:pt>
                <c:pt idx="959">
                  <c:v>152.37</c:v>
                </c:pt>
                <c:pt idx="960">
                  <c:v>155.31</c:v>
                </c:pt>
                <c:pt idx="961">
                  <c:v>153.84</c:v>
                </c:pt>
                <c:pt idx="962">
                  <c:v>163.43</c:v>
                </c:pt>
                <c:pt idx="963">
                  <c:v>157.37</c:v>
                </c:pt>
                <c:pt idx="964">
                  <c:v>154.46</c:v>
                </c:pt>
                <c:pt idx="965">
                  <c:v>155.96</c:v>
                </c:pt>
                <c:pt idx="966">
                  <c:v>154.53</c:v>
                </c:pt>
                <c:pt idx="967">
                  <c:v>155.81</c:v>
                </c:pt>
                <c:pt idx="968">
                  <c:v>157.96</c:v>
                </c:pt>
                <c:pt idx="969">
                  <c:v>157.22</c:v>
                </c:pt>
                <c:pt idx="970">
                  <c:v>158.91</c:v>
                </c:pt>
                <c:pt idx="971">
                  <c:v>161.38</c:v>
                </c:pt>
                <c:pt idx="972">
                  <c:v>163.62</c:v>
                </c:pt>
                <c:pt idx="973">
                  <c:v>170.03</c:v>
                </c:pt>
                <c:pt idx="974">
                  <c:v>167.53</c:v>
                </c:pt>
                <c:pt idx="975">
                  <c:v>167.23</c:v>
                </c:pt>
                <c:pt idx="976">
                  <c:v>167.57</c:v>
                </c:pt>
                <c:pt idx="977">
                  <c:v>171.52</c:v>
                </c:pt>
                <c:pt idx="978">
                  <c:v>174.15</c:v>
                </c:pt>
                <c:pt idx="979">
                  <c:v>174.55</c:v>
                </c:pt>
                <c:pt idx="980">
                  <c:v>173.03</c:v>
                </c:pt>
                <c:pt idx="981">
                  <c:v>173.19</c:v>
                </c:pt>
                <c:pt idx="982">
                  <c:v>172.1</c:v>
                </c:pt>
                <c:pt idx="983">
                  <c:v>168.49</c:v>
                </c:pt>
                <c:pt idx="984">
                  <c:v>169.24</c:v>
                </c:pt>
                <c:pt idx="985">
                  <c:v>164.92</c:v>
                </c:pt>
                <c:pt idx="986">
                  <c:v>164.87</c:v>
                </c:pt>
                <c:pt idx="987">
                  <c:v>165.35</c:v>
                </c:pt>
                <c:pt idx="988">
                  <c:v>165.81</c:v>
                </c:pt>
                <c:pt idx="989">
                  <c:v>166.13</c:v>
                </c:pt>
                <c:pt idx="990">
                  <c:v>160.01</c:v>
                </c:pt>
                <c:pt idx="991">
                  <c:v>161.51</c:v>
                </c:pt>
                <c:pt idx="992">
                  <c:v>162.51</c:v>
                </c:pt>
                <c:pt idx="993">
                  <c:v>157.35</c:v>
                </c:pt>
                <c:pt idx="994">
                  <c:v>156.79</c:v>
                </c:pt>
                <c:pt idx="995">
                  <c:v>151.6</c:v>
                </c:pt>
                <c:pt idx="996">
                  <c:v>152.94999999999999</c:v>
                </c:pt>
                <c:pt idx="997">
                  <c:v>154.09</c:v>
                </c:pt>
                <c:pt idx="998">
                  <c:v>155.35</c:v>
                </c:pt>
                <c:pt idx="999">
                  <c:v>153.04</c:v>
                </c:pt>
                <c:pt idx="1000">
                  <c:v>151</c:v>
                </c:pt>
                <c:pt idx="1001">
                  <c:v>147.07</c:v>
                </c:pt>
                <c:pt idx="1002">
                  <c:v>150.16999999999999</c:v>
                </c:pt>
                <c:pt idx="1003">
                  <c:v>148.47</c:v>
                </c:pt>
                <c:pt idx="1004">
                  <c:v>145.49</c:v>
                </c:pt>
                <c:pt idx="1005">
                  <c:v>145.86000000000001</c:v>
                </c:pt>
                <c:pt idx="1006">
                  <c:v>144.87</c:v>
                </c:pt>
                <c:pt idx="1007">
                  <c:v>147.04</c:v>
                </c:pt>
                <c:pt idx="1008">
                  <c:v>146.35</c:v>
                </c:pt>
                <c:pt idx="1009">
                  <c:v>142.91999999999999</c:v>
                </c:pt>
                <c:pt idx="1010">
                  <c:v>141.56</c:v>
                </c:pt>
                <c:pt idx="1011">
                  <c:v>138.93</c:v>
                </c:pt>
                <c:pt idx="1012">
                  <c:v>136.72</c:v>
                </c:pt>
                <c:pt idx="1013">
                  <c:v>139.22999999999999</c:v>
                </c:pt>
                <c:pt idx="1014">
                  <c:v>137.44</c:v>
                </c:pt>
                <c:pt idx="1015">
                  <c:v>141.66</c:v>
                </c:pt>
                <c:pt idx="1016">
                  <c:v>141.66</c:v>
                </c:pt>
                <c:pt idx="1017">
                  <c:v>138.27000000000001</c:v>
                </c:pt>
                <c:pt idx="1018">
                  <c:v>135.35</c:v>
                </c:pt>
                <c:pt idx="1019">
                  <c:v>135.87</c:v>
                </c:pt>
                <c:pt idx="1020">
                  <c:v>131.56</c:v>
                </c:pt>
                <c:pt idx="1021">
                  <c:v>130.06</c:v>
                </c:pt>
                <c:pt idx="1022">
                  <c:v>135.43</c:v>
                </c:pt>
                <c:pt idx="1023">
                  <c:v>132.76</c:v>
                </c:pt>
                <c:pt idx="1024">
                  <c:v>131.88</c:v>
                </c:pt>
                <c:pt idx="1025">
                  <c:v>137.13</c:v>
                </c:pt>
                <c:pt idx="1026">
                  <c:v>142.63999999999999</c:v>
                </c:pt>
                <c:pt idx="1027">
                  <c:v>147.96</c:v>
                </c:pt>
                <c:pt idx="1028">
                  <c:v>148.71</c:v>
                </c:pt>
                <c:pt idx="1029">
                  <c:v>146.13999999999999</c:v>
                </c:pt>
                <c:pt idx="1030">
                  <c:v>145.38</c:v>
                </c:pt>
                <c:pt idx="1031">
                  <c:v>151.21</c:v>
                </c:pt>
                <c:pt idx="1032">
                  <c:v>148.71</c:v>
                </c:pt>
                <c:pt idx="1033">
                  <c:v>148.84</c:v>
                </c:pt>
                <c:pt idx="1034">
                  <c:v>149.63999999999999</c:v>
                </c:pt>
                <c:pt idx="1035">
                  <c:v>143.78</c:v>
                </c:pt>
                <c:pt idx="1036">
                  <c:v>140.52000000000001</c:v>
                </c:pt>
                <c:pt idx="1037">
                  <c:v>140.36000000000001</c:v>
                </c:pt>
                <c:pt idx="1038">
                  <c:v>143.11000000000001</c:v>
                </c:pt>
                <c:pt idx="1039">
                  <c:v>137.59</c:v>
                </c:pt>
                <c:pt idx="1040">
                  <c:v>137.35</c:v>
                </c:pt>
                <c:pt idx="1041">
                  <c:v>140.82</c:v>
                </c:pt>
                <c:pt idx="1042">
                  <c:v>149.24</c:v>
                </c:pt>
                <c:pt idx="1043">
                  <c:v>145.54</c:v>
                </c:pt>
                <c:pt idx="1044">
                  <c:v>147.11000000000001</c:v>
                </c:pt>
                <c:pt idx="1045">
                  <c:v>142.56</c:v>
                </c:pt>
                <c:pt idx="1046">
                  <c:v>146.5</c:v>
                </c:pt>
                <c:pt idx="1047">
                  <c:v>154.51</c:v>
                </c:pt>
                <c:pt idx="1048">
                  <c:v>152.06</c:v>
                </c:pt>
                <c:pt idx="1049">
                  <c:v>157.28</c:v>
                </c:pt>
                <c:pt idx="1050">
                  <c:v>156.77000000000001</c:v>
                </c:pt>
                <c:pt idx="1051">
                  <c:v>166.02</c:v>
                </c:pt>
                <c:pt idx="1052">
                  <c:v>159.47999999999999</c:v>
                </c:pt>
                <c:pt idx="1053">
                  <c:v>157.96</c:v>
                </c:pt>
                <c:pt idx="1054">
                  <c:v>157.65</c:v>
                </c:pt>
                <c:pt idx="1055">
                  <c:v>163.63999999999999</c:v>
                </c:pt>
                <c:pt idx="1056">
                  <c:v>156.57</c:v>
                </c:pt>
                <c:pt idx="1057">
                  <c:v>156.80000000000001</c:v>
                </c:pt>
                <c:pt idx="1058">
                  <c:v>162.88</c:v>
                </c:pt>
                <c:pt idx="1059">
                  <c:v>161.79</c:v>
                </c:pt>
                <c:pt idx="1060">
                  <c:v>166.42</c:v>
                </c:pt>
                <c:pt idx="1061">
                  <c:v>167.23</c:v>
                </c:pt>
                <c:pt idx="1062">
                  <c:v>167.4</c:v>
                </c:pt>
                <c:pt idx="1063">
                  <c:v>165.07</c:v>
                </c:pt>
                <c:pt idx="1064">
                  <c:v>165.29</c:v>
                </c:pt>
                <c:pt idx="1065">
                  <c:v>170.4</c:v>
                </c:pt>
                <c:pt idx="1066">
                  <c:v>167.66</c:v>
                </c:pt>
                <c:pt idx="1067">
                  <c:v>165.75</c:v>
                </c:pt>
                <c:pt idx="1068">
                  <c:v>170.09</c:v>
                </c:pt>
                <c:pt idx="1069">
                  <c:v>172.14</c:v>
                </c:pt>
                <c:pt idx="1070">
                  <c:v>171.83</c:v>
                </c:pt>
                <c:pt idx="1071">
                  <c:v>175.06</c:v>
                </c:pt>
                <c:pt idx="1072">
                  <c:v>178.44</c:v>
                </c:pt>
                <c:pt idx="1073">
                  <c:v>174.31</c:v>
                </c:pt>
                <c:pt idx="1074">
                  <c:v>174.61</c:v>
                </c:pt>
                <c:pt idx="1075">
                  <c:v>177.77</c:v>
                </c:pt>
                <c:pt idx="1076">
                  <c:v>178.96</c:v>
                </c:pt>
                <c:pt idx="1077">
                  <c:v>175.6</c:v>
                </c:pt>
                <c:pt idx="1078">
                  <c:v>174.72</c:v>
                </c:pt>
                <c:pt idx="1079">
                  <c:v>174.07</c:v>
                </c:pt>
                <c:pt idx="1080">
                  <c:v>170.21</c:v>
                </c:pt>
                <c:pt idx="1081">
                  <c:v>168.82</c:v>
                </c:pt>
                <c:pt idx="1082">
                  <c:v>165.38</c:v>
                </c:pt>
                <c:pt idx="1083">
                  <c:v>163.98</c:v>
                </c:pt>
                <c:pt idx="1084">
                  <c:v>160.62</c:v>
                </c:pt>
                <c:pt idx="1085">
                  <c:v>159.59</c:v>
                </c:pt>
                <c:pt idx="1086">
                  <c:v>155.09</c:v>
                </c:pt>
                <c:pt idx="1087">
                  <c:v>150.62</c:v>
                </c:pt>
                <c:pt idx="1088">
                  <c:v>154.72999999999999</c:v>
                </c:pt>
                <c:pt idx="1089">
                  <c:v>158.52000000000001</c:v>
                </c:pt>
                <c:pt idx="1090">
                  <c:v>162.94999999999999</c:v>
                </c:pt>
                <c:pt idx="1091">
                  <c:v>157.44</c:v>
                </c:pt>
                <c:pt idx="1092">
                  <c:v>159.30000000000001</c:v>
                </c:pt>
                <c:pt idx="1093">
                  <c:v>163.16999999999999</c:v>
                </c:pt>
                <c:pt idx="1094">
                  <c:v>166.23</c:v>
                </c:pt>
                <c:pt idx="1095">
                  <c:v>166.56</c:v>
                </c:pt>
                <c:pt idx="1096">
                  <c:v>163.19999999999999</c:v>
                </c:pt>
                <c:pt idx="1097">
                  <c:v>165.12</c:v>
                </c:pt>
                <c:pt idx="1098">
                  <c:v>164.85</c:v>
                </c:pt>
                <c:pt idx="1099">
                  <c:v>162.74</c:v>
                </c:pt>
                <c:pt idx="1100">
                  <c:v>160.07</c:v>
                </c:pt>
                <c:pt idx="1101">
                  <c:v>164.32</c:v>
                </c:pt>
                <c:pt idx="1102">
                  <c:v>167.3</c:v>
                </c:pt>
                <c:pt idx="1103">
                  <c:v>168.88</c:v>
                </c:pt>
                <c:pt idx="1104">
                  <c:v>172.55</c:v>
                </c:pt>
                <c:pt idx="1105">
                  <c:v>172.79</c:v>
                </c:pt>
                <c:pt idx="1106">
                  <c:v>168.88</c:v>
                </c:pt>
                <c:pt idx="1107">
                  <c:v>168.64</c:v>
                </c:pt>
                <c:pt idx="1108">
                  <c:v>172.12</c:v>
                </c:pt>
                <c:pt idx="1109">
                  <c:v>176.28</c:v>
                </c:pt>
                <c:pt idx="1110">
                  <c:v>174.83</c:v>
                </c:pt>
                <c:pt idx="1111">
                  <c:v>171.66</c:v>
                </c:pt>
                <c:pt idx="1112">
                  <c:v>172.39</c:v>
                </c:pt>
                <c:pt idx="1113">
                  <c:v>172.9</c:v>
                </c:pt>
                <c:pt idx="1114">
                  <c:v>175.84</c:v>
                </c:pt>
                <c:pt idx="1115">
                  <c:v>174.61</c:v>
                </c:pt>
                <c:pt idx="1116">
                  <c:v>174.78</c:v>
                </c:pt>
                <c:pt idx="1117">
                  <c:v>170.33</c:v>
                </c:pt>
                <c:pt idx="1118">
                  <c:v>159.22</c:v>
                </c:pt>
                <c:pt idx="1119">
                  <c:v>159.69</c:v>
                </c:pt>
                <c:pt idx="1120">
                  <c:v>159.78</c:v>
                </c:pt>
                <c:pt idx="1121">
                  <c:v>161.62</c:v>
                </c:pt>
                <c:pt idx="1122">
                  <c:v>162.41</c:v>
                </c:pt>
                <c:pt idx="1123">
                  <c:v>164.51</c:v>
                </c:pt>
                <c:pt idx="1124">
                  <c:v>166.23</c:v>
                </c:pt>
                <c:pt idx="1125">
                  <c:v>169.8</c:v>
                </c:pt>
                <c:pt idx="1126">
                  <c:v>173.07</c:v>
                </c:pt>
                <c:pt idx="1127">
                  <c:v>172.19</c:v>
                </c:pt>
                <c:pt idx="1128">
                  <c:v>175.53</c:v>
                </c:pt>
                <c:pt idx="1129">
                  <c:v>175.08</c:v>
                </c:pt>
                <c:pt idx="1130">
                  <c:v>172.19</c:v>
                </c:pt>
                <c:pt idx="1131">
                  <c:v>172.17</c:v>
                </c:pt>
                <c:pt idx="1132">
                  <c:v>172</c:v>
                </c:pt>
                <c:pt idx="1133">
                  <c:v>174.92</c:v>
                </c:pt>
                <c:pt idx="1134">
                  <c:v>179.7</c:v>
                </c:pt>
                <c:pt idx="1135">
                  <c:v>182.01</c:v>
                </c:pt>
                <c:pt idx="1136">
                  <c:v>177.57</c:v>
                </c:pt>
                <c:pt idx="1137">
                  <c:v>178.2</c:v>
                </c:pt>
                <c:pt idx="1138">
                  <c:v>179.38</c:v>
                </c:pt>
                <c:pt idx="1139">
                  <c:v>179.29</c:v>
                </c:pt>
                <c:pt idx="1140">
                  <c:v>180.33</c:v>
                </c:pt>
                <c:pt idx="1141">
                  <c:v>176.28</c:v>
                </c:pt>
                <c:pt idx="1142">
                  <c:v>175.64</c:v>
                </c:pt>
                <c:pt idx="1143">
                  <c:v>172.99</c:v>
                </c:pt>
                <c:pt idx="1144">
                  <c:v>169.75</c:v>
                </c:pt>
                <c:pt idx="1145">
                  <c:v>171.14</c:v>
                </c:pt>
                <c:pt idx="1146">
                  <c:v>172.26</c:v>
                </c:pt>
                <c:pt idx="1147">
                  <c:v>179.3</c:v>
                </c:pt>
                <c:pt idx="1148">
                  <c:v>174.33</c:v>
                </c:pt>
                <c:pt idx="1149">
                  <c:v>175.74</c:v>
                </c:pt>
                <c:pt idx="1150">
                  <c:v>179.45</c:v>
                </c:pt>
                <c:pt idx="1151">
                  <c:v>174.56</c:v>
                </c:pt>
                <c:pt idx="1152">
                  <c:v>175.08</c:v>
                </c:pt>
                <c:pt idx="1153">
                  <c:v>171.18</c:v>
                </c:pt>
                <c:pt idx="1154">
                  <c:v>165.32</c:v>
                </c:pt>
                <c:pt idx="1155">
                  <c:v>161.84</c:v>
                </c:pt>
                <c:pt idx="1156">
                  <c:v>163.76</c:v>
                </c:pt>
                <c:pt idx="1157">
                  <c:v>164.77</c:v>
                </c:pt>
                <c:pt idx="1158">
                  <c:v>165.3</c:v>
                </c:pt>
                <c:pt idx="1159">
                  <c:v>160.24</c:v>
                </c:pt>
                <c:pt idx="1160">
                  <c:v>156.81</c:v>
                </c:pt>
                <c:pt idx="1161">
                  <c:v>161.94</c:v>
                </c:pt>
                <c:pt idx="1162">
                  <c:v>161.41</c:v>
                </c:pt>
                <c:pt idx="1163">
                  <c:v>161.02000000000001</c:v>
                </c:pt>
                <c:pt idx="1164">
                  <c:v>160.55000000000001</c:v>
                </c:pt>
                <c:pt idx="1165">
                  <c:v>157.87</c:v>
                </c:pt>
                <c:pt idx="1166">
                  <c:v>153.49</c:v>
                </c:pt>
                <c:pt idx="1167">
                  <c:v>151</c:v>
                </c:pt>
                <c:pt idx="1168">
                  <c:v>150</c:v>
                </c:pt>
                <c:pt idx="1169">
                  <c:v>149.99</c:v>
                </c:pt>
                <c:pt idx="1170">
                  <c:v>147.87</c:v>
                </c:pt>
                <c:pt idx="1171">
                  <c:v>147.91999999999999</c:v>
                </c:pt>
                <c:pt idx="1172">
                  <c:v>150.81</c:v>
                </c:pt>
                <c:pt idx="1173">
                  <c:v>150.44</c:v>
                </c:pt>
                <c:pt idx="1174">
                  <c:v>151.28</c:v>
                </c:pt>
                <c:pt idx="1175">
                  <c:v>150.96</c:v>
                </c:pt>
                <c:pt idx="1176">
                  <c:v>151.49</c:v>
                </c:pt>
                <c:pt idx="1177">
                  <c:v>150.02000000000001</c:v>
                </c:pt>
                <c:pt idx="1178">
                  <c:v>148.96</c:v>
                </c:pt>
                <c:pt idx="1179">
                  <c:v>149.80000000000001</c:v>
                </c:pt>
                <c:pt idx="1180">
                  <c:v>152.57</c:v>
                </c:pt>
                <c:pt idx="1181">
                  <c:v>148.85</c:v>
                </c:pt>
                <c:pt idx="1182">
                  <c:v>149.32</c:v>
                </c:pt>
                <c:pt idx="1183">
                  <c:v>148.63999999999999</c:v>
                </c:pt>
                <c:pt idx="1184">
                  <c:v>148.69</c:v>
                </c:pt>
                <c:pt idx="1185">
                  <c:v>149.47999999999999</c:v>
                </c:pt>
                <c:pt idx="1186">
                  <c:v>149.26</c:v>
                </c:pt>
                <c:pt idx="1187">
                  <c:v>148.76</c:v>
                </c:pt>
                <c:pt idx="1188">
                  <c:v>146.55000000000001</c:v>
                </c:pt>
                <c:pt idx="1189">
                  <c:v>144.84</c:v>
                </c:pt>
                <c:pt idx="1190">
                  <c:v>143.76</c:v>
                </c:pt>
                <c:pt idx="1191">
                  <c:v>140.91</c:v>
                </c:pt>
                <c:pt idx="1192">
                  <c:v>141.51</c:v>
                </c:pt>
                <c:pt idx="1193">
                  <c:v>142.81</c:v>
                </c:pt>
                <c:pt idx="1194">
                  <c:v>142.9</c:v>
                </c:pt>
                <c:pt idx="1195">
                  <c:v>143.29</c:v>
                </c:pt>
                <c:pt idx="1196">
                  <c:v>142</c:v>
                </c:pt>
                <c:pt idx="1197">
                  <c:v>141.11000000000001</c:v>
                </c:pt>
                <c:pt idx="1198">
                  <c:v>139.13999999999999</c:v>
                </c:pt>
                <c:pt idx="1199">
                  <c:v>142.65</c:v>
                </c:pt>
                <c:pt idx="1200">
                  <c:v>141.5</c:v>
                </c:pt>
                <c:pt idx="1201">
                  <c:v>142.83000000000001</c:v>
                </c:pt>
                <c:pt idx="1202">
                  <c:v>141.91</c:v>
                </c:pt>
                <c:pt idx="1203">
                  <c:v>145.37</c:v>
                </c:pt>
                <c:pt idx="1204">
                  <c:v>146.91999999999999</c:v>
                </c:pt>
                <c:pt idx="1205">
                  <c:v>146.83000000000001</c:v>
                </c:pt>
                <c:pt idx="1206">
                  <c:v>145.85</c:v>
                </c:pt>
                <c:pt idx="1207">
                  <c:v>143.43</c:v>
                </c:pt>
                <c:pt idx="1208">
                  <c:v>142.94</c:v>
                </c:pt>
                <c:pt idx="1209">
                  <c:v>146.06</c:v>
                </c:pt>
                <c:pt idx="1210">
                  <c:v>148.79</c:v>
                </c:pt>
                <c:pt idx="1211">
                  <c:v>149.03</c:v>
                </c:pt>
                <c:pt idx="1212">
                  <c:v>148.12</c:v>
                </c:pt>
                <c:pt idx="1213">
                  <c:v>149.55000000000001</c:v>
                </c:pt>
                <c:pt idx="1214">
                  <c:v>148.97</c:v>
                </c:pt>
                <c:pt idx="1215">
                  <c:v>154.07</c:v>
                </c:pt>
                <c:pt idx="1216">
                  <c:v>155.11000000000001</c:v>
                </c:pt>
                <c:pt idx="1217">
                  <c:v>156.69</c:v>
                </c:pt>
                <c:pt idx="1218">
                  <c:v>154.30000000000001</c:v>
                </c:pt>
                <c:pt idx="1219">
                  <c:v>153.65</c:v>
                </c:pt>
                <c:pt idx="1220">
                  <c:v>152.51</c:v>
                </c:pt>
                <c:pt idx="1221">
                  <c:v>151.83000000000001</c:v>
                </c:pt>
                <c:pt idx="1222">
                  <c:v>153.12</c:v>
                </c:pt>
                <c:pt idx="1223">
                  <c:v>148.6</c:v>
                </c:pt>
                <c:pt idx="1224">
                  <c:v>147.54</c:v>
                </c:pt>
                <c:pt idx="1225">
                  <c:v>148.36000000000001</c:v>
                </c:pt>
                <c:pt idx="1226">
                  <c:v>149.62</c:v>
                </c:pt>
                <c:pt idx="1227">
                  <c:v>149.71</c:v>
                </c:pt>
                <c:pt idx="1228">
                  <c:v>148.19</c:v>
                </c:pt>
                <c:pt idx="1229">
                  <c:v>146.69999999999999</c:v>
                </c:pt>
                <c:pt idx="1230">
                  <c:v>146.36000000000001</c:v>
                </c:pt>
                <c:pt idx="1231">
                  <c:v>150.19</c:v>
                </c:pt>
                <c:pt idx="1232">
                  <c:v>151.12</c:v>
                </c:pt>
                <c:pt idx="1233">
                  <c:v>149.1</c:v>
                </c:pt>
                <c:pt idx="1234">
                  <c:v>148.88999999999999</c:v>
                </c:pt>
                <c:pt idx="1235">
                  <c:v>145.86000000000001</c:v>
                </c:pt>
                <c:pt idx="1236">
                  <c:v>145.6</c:v>
                </c:pt>
                <c:pt idx="1237">
                  <c:v>146.09</c:v>
                </c:pt>
                <c:pt idx="1238">
                  <c:v>146.13999999999999</c:v>
                </c:pt>
                <c:pt idx="1239">
                  <c:v>147.06</c:v>
                </c:pt>
                <c:pt idx="1240">
                  <c:v>146.94999999999999</c:v>
                </c:pt>
                <c:pt idx="1241">
                  <c:v>147.36000000000001</c:v>
                </c:pt>
                <c:pt idx="1242">
                  <c:v>145.52000000000001</c:v>
                </c:pt>
                <c:pt idx="1243">
                  <c:v>145.86000000000001</c:v>
                </c:pt>
                <c:pt idx="1244">
                  <c:v>145.63999999999999</c:v>
                </c:pt>
                <c:pt idx="1245">
                  <c:v>144.97999999999999</c:v>
                </c:pt>
                <c:pt idx="1246">
                  <c:v>146.77000000000001</c:v>
                </c:pt>
                <c:pt idx="1247">
                  <c:v>148.99</c:v>
                </c:pt>
                <c:pt idx="1248">
                  <c:v>148.56</c:v>
                </c:pt>
                <c:pt idx="1249">
                  <c:v>146.80000000000001</c:v>
                </c:pt>
                <c:pt idx="1250">
                  <c:v>145.4</c:v>
                </c:pt>
                <c:pt idx="1251">
                  <c:v>146.15</c:v>
                </c:pt>
                <c:pt idx="1252">
                  <c:v>142.44999999999999</c:v>
                </c:pt>
                <c:pt idx="1253">
                  <c:v>146.38999999999999</c:v>
                </c:pt>
                <c:pt idx="1254">
                  <c:v>148.47999999999999</c:v>
                </c:pt>
                <c:pt idx="1255">
                  <c:v>149.15</c:v>
                </c:pt>
                <c:pt idx="1256">
                  <c:v>145.63999999999999</c:v>
                </c:pt>
              </c:numCache>
            </c:numRef>
          </c:val>
          <c:extLst>
            <c:ext xmlns:c16="http://schemas.microsoft.com/office/drawing/2014/chart" uri="{C3380CC4-5D6E-409C-BE32-E72D297353CC}">
              <c16:uniqueId val="{00000000-EF49-4E8B-B40E-74934872C603}"/>
            </c:ext>
          </c:extLst>
        </c:ser>
        <c:dLbls>
          <c:showLegendKey val="0"/>
          <c:showVal val="0"/>
          <c:showCatName val="0"/>
          <c:showSerName val="0"/>
          <c:showPercent val="0"/>
          <c:showBubbleSize val="0"/>
        </c:dLbls>
        <c:gapWidth val="219"/>
        <c:overlap val="-27"/>
        <c:axId val="221066304"/>
        <c:axId val="221065056"/>
      </c:barChart>
      <c:dateAx>
        <c:axId val="221066304"/>
        <c:scaling>
          <c:orientation val="maxMin"/>
        </c:scaling>
        <c:delete val="1"/>
        <c:axPos val="b"/>
        <c:numFmt formatCode="yyyy" sourceLinked="0"/>
        <c:majorTickMark val="none"/>
        <c:minorTickMark val="none"/>
        <c:tickLblPos val="low"/>
        <c:crossAx val="221065056"/>
        <c:crosses val="autoZero"/>
        <c:auto val="0"/>
        <c:lblOffset val="10"/>
        <c:baseTimeUnit val="days"/>
        <c:majorUnit val="365"/>
        <c:minorUnit val="365"/>
      </c:dateAx>
      <c:valAx>
        <c:axId val="221065056"/>
        <c:scaling>
          <c:orientation val="minMax"/>
        </c:scaling>
        <c:delete val="0"/>
        <c:axPos val="r"/>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66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26</xdr:col>
      <xdr:colOff>430</xdr:colOff>
      <xdr:row>0</xdr:row>
      <xdr:rowOff>178593</xdr:rowOff>
    </xdr:from>
    <xdr:to>
      <xdr:col>30</xdr:col>
      <xdr:colOff>603959</xdr:colOff>
      <xdr:row>11</xdr:row>
      <xdr:rowOff>5952</xdr:rowOff>
    </xdr:to>
    <xdr:graphicFrame macro="">
      <xdr:nvGraphicFramePr>
        <xdr:cNvPr id="5" name="Chart 4">
          <a:extLst>
            <a:ext uri="{FF2B5EF4-FFF2-40B4-BE49-F238E27FC236}">
              <a16:creationId xmlns:a16="http://schemas.microsoft.com/office/drawing/2014/main" id="{70431477-7E81-46B4-848A-70611DBA1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591206</xdr:colOff>
      <xdr:row>2</xdr:row>
      <xdr:rowOff>0</xdr:rowOff>
    </xdr:from>
    <xdr:to>
      <xdr:col>15</xdr:col>
      <xdr:colOff>1551</xdr:colOff>
      <xdr:row>15</xdr:row>
      <xdr:rowOff>187500</xdr:rowOff>
    </xdr:to>
    <xdr:graphicFrame macro="">
      <xdr:nvGraphicFramePr>
        <xdr:cNvPr id="5" name="Chart 4">
          <a:extLst>
            <a:ext uri="{FF2B5EF4-FFF2-40B4-BE49-F238E27FC236}">
              <a16:creationId xmlns:a16="http://schemas.microsoft.com/office/drawing/2014/main" id="{BF3B9FCA-8BE3-45D1-BA9F-3C6A7549D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xdr:row>
      <xdr:rowOff>0</xdr:rowOff>
    </xdr:from>
    <xdr:to>
      <xdr:col>8</xdr:col>
      <xdr:colOff>1552</xdr:colOff>
      <xdr:row>15</xdr:row>
      <xdr:rowOff>187500</xdr:rowOff>
    </xdr:to>
    <xdr:graphicFrame macro="">
      <xdr:nvGraphicFramePr>
        <xdr:cNvPr id="6" name="Chart 5">
          <a:extLst>
            <a:ext uri="{FF2B5EF4-FFF2-40B4-BE49-F238E27FC236}">
              <a16:creationId xmlns:a16="http://schemas.microsoft.com/office/drawing/2014/main" id="{226D8B8F-2305-4FDA-8BBC-ED0EA6D63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xdr:row>
      <xdr:rowOff>0</xdr:rowOff>
    </xdr:from>
    <xdr:to>
      <xdr:col>22</xdr:col>
      <xdr:colOff>11206</xdr:colOff>
      <xdr:row>15</xdr:row>
      <xdr:rowOff>187500</xdr:rowOff>
    </xdr:to>
    <xdr:graphicFrame macro="">
      <xdr:nvGraphicFramePr>
        <xdr:cNvPr id="7" name="Chart 6">
          <a:extLst>
            <a:ext uri="{FF2B5EF4-FFF2-40B4-BE49-F238E27FC236}">
              <a16:creationId xmlns:a16="http://schemas.microsoft.com/office/drawing/2014/main" id="{3EEF1552-830C-4112-86B6-D017CF32B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2</xdr:row>
      <xdr:rowOff>0</xdr:rowOff>
    </xdr:from>
    <xdr:to>
      <xdr:col>29</xdr:col>
      <xdr:colOff>617</xdr:colOff>
      <xdr:row>15</xdr:row>
      <xdr:rowOff>187500</xdr:rowOff>
    </xdr:to>
    <xdr:graphicFrame macro="">
      <xdr:nvGraphicFramePr>
        <xdr:cNvPr id="8" name="Chart 7">
          <a:extLst>
            <a:ext uri="{FF2B5EF4-FFF2-40B4-BE49-F238E27FC236}">
              <a16:creationId xmlns:a16="http://schemas.microsoft.com/office/drawing/2014/main" id="{9184DA24-DB1B-4F7F-A215-9D04DBEDC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16</xdr:row>
      <xdr:rowOff>0</xdr:rowOff>
    </xdr:from>
    <xdr:to>
      <xdr:col>8</xdr:col>
      <xdr:colOff>617</xdr:colOff>
      <xdr:row>29</xdr:row>
      <xdr:rowOff>187500</xdr:rowOff>
    </xdr:to>
    <xdr:graphicFrame macro="">
      <xdr:nvGraphicFramePr>
        <xdr:cNvPr id="10" name="Chart 9">
          <a:extLst>
            <a:ext uri="{FF2B5EF4-FFF2-40B4-BE49-F238E27FC236}">
              <a16:creationId xmlns:a16="http://schemas.microsoft.com/office/drawing/2014/main" id="{15112AF7-9CD7-4E17-A8BF-3F6523400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16</xdr:row>
      <xdr:rowOff>0</xdr:rowOff>
    </xdr:from>
    <xdr:to>
      <xdr:col>15</xdr:col>
      <xdr:colOff>4218</xdr:colOff>
      <xdr:row>29</xdr:row>
      <xdr:rowOff>187500</xdr:rowOff>
    </xdr:to>
    <xdr:graphicFrame macro="">
      <xdr:nvGraphicFramePr>
        <xdr:cNvPr id="11" name="Chart 10">
          <a:extLst>
            <a:ext uri="{FF2B5EF4-FFF2-40B4-BE49-F238E27FC236}">
              <a16:creationId xmlns:a16="http://schemas.microsoft.com/office/drawing/2014/main" id="{12388059-02F6-4AD4-AF96-C8B1CA251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16</xdr:row>
      <xdr:rowOff>0</xdr:rowOff>
    </xdr:from>
    <xdr:to>
      <xdr:col>22</xdr:col>
      <xdr:colOff>11418</xdr:colOff>
      <xdr:row>29</xdr:row>
      <xdr:rowOff>187500</xdr:rowOff>
    </xdr:to>
    <xdr:graphicFrame macro="">
      <xdr:nvGraphicFramePr>
        <xdr:cNvPr id="12" name="Chart 11">
          <a:extLst>
            <a:ext uri="{FF2B5EF4-FFF2-40B4-BE49-F238E27FC236}">
              <a16:creationId xmlns:a16="http://schemas.microsoft.com/office/drawing/2014/main" id="{8E3F847B-9F3B-41C1-861E-02F820B2A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0</xdr:colOff>
      <xdr:row>16</xdr:row>
      <xdr:rowOff>0</xdr:rowOff>
    </xdr:from>
    <xdr:to>
      <xdr:col>29</xdr:col>
      <xdr:colOff>617</xdr:colOff>
      <xdr:row>29</xdr:row>
      <xdr:rowOff>187500</xdr:rowOff>
    </xdr:to>
    <xdr:graphicFrame macro="">
      <xdr:nvGraphicFramePr>
        <xdr:cNvPr id="13" name="Chart 12">
          <a:extLst>
            <a:ext uri="{FF2B5EF4-FFF2-40B4-BE49-F238E27FC236}">
              <a16:creationId xmlns:a16="http://schemas.microsoft.com/office/drawing/2014/main" id="{03E0B86B-4893-4DC8-A268-07FB76FFF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30</xdr:row>
      <xdr:rowOff>0</xdr:rowOff>
    </xdr:from>
    <xdr:to>
      <xdr:col>8</xdr:col>
      <xdr:colOff>617</xdr:colOff>
      <xdr:row>43</xdr:row>
      <xdr:rowOff>187500</xdr:rowOff>
    </xdr:to>
    <xdr:graphicFrame macro="">
      <xdr:nvGraphicFramePr>
        <xdr:cNvPr id="14" name="Chart 13">
          <a:extLst>
            <a:ext uri="{FF2B5EF4-FFF2-40B4-BE49-F238E27FC236}">
              <a16:creationId xmlns:a16="http://schemas.microsoft.com/office/drawing/2014/main" id="{296DC3FD-394A-4179-8CC5-CAE0FF2A5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0</xdr:colOff>
      <xdr:row>30</xdr:row>
      <xdr:rowOff>0</xdr:rowOff>
    </xdr:from>
    <xdr:to>
      <xdr:col>15</xdr:col>
      <xdr:colOff>5733</xdr:colOff>
      <xdr:row>43</xdr:row>
      <xdr:rowOff>187500</xdr:rowOff>
    </xdr:to>
    <xdr:graphicFrame macro="">
      <xdr:nvGraphicFramePr>
        <xdr:cNvPr id="16" name="Chart 15">
          <a:extLst>
            <a:ext uri="{FF2B5EF4-FFF2-40B4-BE49-F238E27FC236}">
              <a16:creationId xmlns:a16="http://schemas.microsoft.com/office/drawing/2014/main" id="{31FCF720-7EF1-4076-B090-C0831D45D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30</xdr:row>
      <xdr:rowOff>0</xdr:rowOff>
    </xdr:from>
    <xdr:to>
      <xdr:col>22</xdr:col>
      <xdr:colOff>12933</xdr:colOff>
      <xdr:row>43</xdr:row>
      <xdr:rowOff>187500</xdr:rowOff>
    </xdr:to>
    <xdr:graphicFrame macro="">
      <xdr:nvGraphicFramePr>
        <xdr:cNvPr id="17" name="Chart 16">
          <a:extLst>
            <a:ext uri="{FF2B5EF4-FFF2-40B4-BE49-F238E27FC236}">
              <a16:creationId xmlns:a16="http://schemas.microsoft.com/office/drawing/2014/main" id="{AF776832-FBBE-4CE6-86D0-25FBD4DBC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0</xdr:colOff>
      <xdr:row>30</xdr:row>
      <xdr:rowOff>0</xdr:rowOff>
    </xdr:from>
    <xdr:to>
      <xdr:col>29</xdr:col>
      <xdr:colOff>2134</xdr:colOff>
      <xdr:row>43</xdr:row>
      <xdr:rowOff>187500</xdr:rowOff>
    </xdr:to>
    <xdr:graphicFrame macro="">
      <xdr:nvGraphicFramePr>
        <xdr:cNvPr id="18" name="Chart 17">
          <a:extLst>
            <a:ext uri="{FF2B5EF4-FFF2-40B4-BE49-F238E27FC236}">
              <a16:creationId xmlns:a16="http://schemas.microsoft.com/office/drawing/2014/main" id="{3D2F4F96-46B0-4B5C-93A2-038D01B3F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29</xdr:row>
      <xdr:rowOff>0</xdr:rowOff>
    </xdr:from>
    <xdr:to>
      <xdr:col>22</xdr:col>
      <xdr:colOff>56030</xdr:colOff>
      <xdr:row>40</xdr:row>
      <xdr:rowOff>179293</xdr:rowOff>
    </xdr:to>
    <xdr:graphicFrame macro="">
      <xdr:nvGraphicFramePr>
        <xdr:cNvPr id="7" name="Chart 6">
          <a:extLst>
            <a:ext uri="{FF2B5EF4-FFF2-40B4-BE49-F238E27FC236}">
              <a16:creationId xmlns:a16="http://schemas.microsoft.com/office/drawing/2014/main" id="{8DDBE59C-97D2-4A31-8460-971CFF357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5</xdr:row>
      <xdr:rowOff>14287</xdr:rowOff>
    </xdr:from>
    <xdr:to>
      <xdr:col>10</xdr:col>
      <xdr:colOff>552450</xdr:colOff>
      <xdr:row>16</xdr:row>
      <xdr:rowOff>28575</xdr:rowOff>
    </xdr:to>
    <xdr:graphicFrame macro="">
      <xdr:nvGraphicFramePr>
        <xdr:cNvPr id="5" name="Chart 4">
          <a:extLst>
            <a:ext uri="{FF2B5EF4-FFF2-40B4-BE49-F238E27FC236}">
              <a16:creationId xmlns:a16="http://schemas.microsoft.com/office/drawing/2014/main" id="{77FA4322-1F0A-D24F-BE07-379CECD1A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icrosoft Office User" id="{2A11E677-16B2-A14C-8843-87375A5FBA31}" userId="Microsoft Office Us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3-08-31T20:12:45.87" personId="{2A11E677-16B2-A14C-8843-87375A5FBA31}" id="{D25BEC8A-7958-5F47-99A9-0246511B5465}">
    <text>Make sure to use Yahoo Finance ticker system</text>
  </threadedComment>
</ThreadedComments>
</file>

<file path=xl/threadedComments/threadedComment2.xml><?xml version="1.0" encoding="utf-8"?>
<ThreadedComments xmlns="http://schemas.microsoft.com/office/spreadsheetml/2018/threadedcomments" xmlns:x="http://schemas.openxmlformats.org/spreadsheetml/2006/main">
  <threadedComment ref="B5" dT="2023-08-31T20:17:38.07" personId="{2A11E677-16B2-A14C-8843-87375A5FBA31}" id="{66B62344-21F6-E244-B869-688D4A5580ED}">
    <text>1 = conservative
2 = base case
3= optimistic</text>
  </threadedComment>
  <threadedComment ref="G12" dT="2023-08-31T20:21:04.41" personId="{2A11E677-16B2-A14C-8843-87375A5FBA31}" id="{5405E476-B8A2-0D49-94ED-2F7BF571B52C}">
    <text>Reflects the rate of return required by an investor. Typically comprises the risk-free rate, stock beta, and market risk premium.
Risk-free rate: Check current yields on 10-year government bonds.
Stock beta: Yahoo Finance or Wisesheets.
Market risk premium: Historical averages 5%-7%; may vary.</text>
  </threadedComment>
  <threadedComment ref="G13" dT="2023-08-31T20:21:47.94" personId="{2A11E677-16B2-A14C-8843-87375A5FBA31}" id="{494AAA0C-ACB2-724A-93C0-4855F4A50450}">
    <text>The perpetual growth rate applied to future cash flows beyond a projection period when valuing a company using the Discounted Cash Flow (DCF) method. Typically a small, stable rate to represent mature growth.
Often assumed between 2%-3%, reflecting long-term inflation and GDP growth, but can vary based on industry and economy.</text>
  </threadedComment>
  <threadedComment ref="G15" dT="2023-08-31T20:22:08.25" personId="{2A11E677-16B2-A14C-8843-87375A5FBA31}" id="{BD1197C8-792F-F449-A09A-282D4D605BB7}">
    <text>Represents the theoretical return on an investment with zero risk. Often derived from the yield on 10-year U.S. government bonds.</text>
  </threadedComment>
  <threadedComment ref="G16" dT="2023-08-31T20:25:57.32" personId="{2A11E677-16B2-A14C-8843-87375A5FBA31}" id="{92A245DC-1544-C942-83ED-E32F66212C98}">
    <text>Represents the expected return of the overall market or benchmark index (e.g., S&amp;P 500).
Historical averages 5%-7%; may vary.</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657EE59-626B-46E1-81E7-AFF264AA067C}">
  <we:reference id="wa200002252" version="1.0.0.2" store="en-US" storeType="OMEX"/>
  <we:alternateReferences>
    <we:reference id="wa200002252" version="1.0.0.2" store=""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_xldudf_WISE</we:customFunctionIds>
        <we:customFunctionIds>_xldudf_WISEPRICE</we:customFunctionIds>
        <we:customFunctionIds>_xldudf_WISEFUNDS</we:customFunctionIds>
        <we:customFunctionIds>_xldudf_WISEOPTIONS</we:customFunctionIds>
      </we:customFunctionIdList>
    </a:ext>
    <a:ext xmlns:a="http://schemas.openxmlformats.org/drawingml/2006/main" uri="{0858819E-0033-43BF-8937-05EC82904868}">
      <we:backgroundApp state="1" runtimeId="Taskpane.Url"/>
    </a:ext>
  </we:extLst>
</we:webextension>
</file>

<file path=xl/webextensions/webextension2.xml><?xml version="1.0" encoding="utf-8"?>
<we:webextension xmlns:we="http://schemas.microsoft.com/office/webextensions/webextension/2010/11" id="{1D9F0CCF-91D0-5647-BEE7-2026103767EE}">
  <we:reference id="wa200003886" version="1.0.0.0" store="en-US" storeType="OMEX"/>
  <we:alternateReferences>
    <we:reference id="wa200003886" version="1.0.0.0" store="WA20000388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_xldudf_FS_TEST</we:customFunctionIds>
        <we:customFunctionIds>_xldudf_FS_DIVIDENDS</we:customFunctionIds>
        <we:customFunctionIds>_xldudf_FS_INSTITUTIONALPORTFOLIOS</we:customFunctionIds>
        <we:customFunctionIds>_xldudf_FS_EARNINGSCALENDAR</we:customFunctionIds>
        <we:customFunctionIds>_xldudf_FS_EQUITYTICK</we:customFunctionIds>
        <we:customFunctionIds>_xldudf_FS_SHORTINTEREST</we:customFunctionIds>
        <we:customFunctionIds>_xldudf_FS_OPTIONEXPIRATIONDATES</we:customFunctionIds>
        <we:customFunctionIds>_xldudf_FS_OPTIONCHAIN</we:customFunctionIds>
        <we:customFunctionIds>_xldudf_FS_EQUITYMETRICS</we:customFunctionIds>
        <we:customFunctionIds>_xldudf_FS_EQUITYFULLFINANCIALS</we:customFunctionIds>
        <we:customFunctionIds>_xldudf_FS_EQUITYCANDLES</we:customFunctionIds>
        <we:customFunctionIds>_xldudf_FS_FOREXCANDLES</we:customFunctionIds>
        <we:customFunctionIds>_xldudf_FS_CRYPTOCANDLES</we:customFunctionIds>
        <we:customFunctionIds>_xldudf_FS_ETFCANDLES</we:customFunctionIds>
        <we:customFunctionIds>_xldudf_FS_MUTUALFUNDCANDLES</we:customFunctionIds>
        <we:customFunctionIds>_xldudf_FS_FOREXALLRATES</we:customFunctionIds>
        <we:customFunctionIds>_xldudf_FS_CRYPTOPROFILE</we:customFunctionIds>
        <we:customFunctionIds>_xldudf_FS_ETFPROFILE</we:customFunctionIds>
        <we:customFunctionIds>_xldudf_FS_MUTUALFUNDPROFILE</we:customFunctionIds>
        <we:customFunctionIds>_xldudf_FS_LATEST</we:customFunctionIds>
        <we:customFunctionIds>_xldudf_FS_STREAMING</we:customFunctionIds>
        <we:customFunctionIds>_xldudf_FS_PATTERNRECOGNITION</we:customFunctionIds>
        <we:customFunctionIds>_xldudf_FS_SUPPORTRESISTANCE</we:customFunctionIds>
        <we:customFunctionIds>_xldudf_FS_AGGREGATEINDICATORS</we:customFunctionIds>
        <we:customFunctionIds>_xldudf_FS_TECHNICALINDICATORS</we:customFunctionIds>
        <we:customFunctionIds>_xldudf_FS_ESG</we:customFunctionIds>
        <we:customFunctionIds>_xldudf_FS_EARNINGSQUALITY</we:customFunctionIds>
        <we:customFunctionIds>_xldudf_FS_API</we:customFunctionIds>
        <we:customFunctionIds>_xldudf_FS_ETFHOLDINGS</we:customFunctionIds>
        <we:customFunctionIds>_xldudf_FS_MUTUALFUNDHOLDINGS</we:customFunctionIds>
        <we:customFunctionIds>_xldudf_FS_BONDCANDLES</we:customFunctionIds>
        <we:customFunctionIds>_xldudf_FS_BONDTICK</we:customFunctionIds>
        <we:customFunctionIds>_xldudf_FS_FUTURESCANDLES</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6D1AB-E8C4-435B-B6A7-BD5244551622}">
  <dimension ref="B1:AE46"/>
  <sheetViews>
    <sheetView showGridLines="0" zoomScale="91" zoomScaleNormal="85" workbookViewId="0">
      <selection activeCell="K17" sqref="K17"/>
    </sheetView>
  </sheetViews>
  <sheetFormatPr defaultColWidth="8.77734375" defaultRowHeight="14.4" x14ac:dyDescent="0.3"/>
  <cols>
    <col min="1" max="1" width="2.44140625" customWidth="1"/>
    <col min="2" max="4" width="9.109375" customWidth="1"/>
    <col min="5" max="5" width="11.21875" customWidth="1"/>
    <col min="6" max="25" width="9.109375" customWidth="1"/>
    <col min="26" max="26" width="2.44140625" customWidth="1"/>
    <col min="27" max="27" width="9" bestFit="1" customWidth="1"/>
    <col min="30" max="31" width="9.109375" bestFit="1" customWidth="1"/>
  </cols>
  <sheetData>
    <row r="1" spans="2:31" ht="14.25" customHeight="1" x14ac:dyDescent="0.3"/>
    <row r="2" spans="2:31" x14ac:dyDescent="0.3">
      <c r="B2" s="136" t="s">
        <v>0</v>
      </c>
      <c r="C2" s="137"/>
      <c r="D2" s="137"/>
      <c r="E2" s="211" t="s">
        <v>323</v>
      </c>
      <c r="F2" s="211"/>
      <c r="G2" s="211"/>
      <c r="H2" s="212"/>
      <c r="I2" s="90" t="s">
        <v>65</v>
      </c>
      <c r="J2" s="90"/>
      <c r="K2" s="90"/>
      <c r="L2" s="90"/>
      <c r="M2" s="90"/>
      <c r="N2" s="90"/>
      <c r="O2" s="90"/>
      <c r="P2" s="90"/>
      <c r="Q2" s="90"/>
      <c r="R2" s="90"/>
      <c r="S2" s="90"/>
      <c r="T2" s="90"/>
      <c r="U2" s="90"/>
      <c r="V2" s="90"/>
      <c r="W2" s="90"/>
      <c r="X2" s="90"/>
      <c r="Y2" s="138"/>
    </row>
    <row r="3" spans="2:31" x14ac:dyDescent="0.3">
      <c r="B3" s="7" t="s">
        <v>66</v>
      </c>
      <c r="E3" t="str" cm="1">
        <f t="array" ref="E3">_xldudf_WISEPRICE($E$2,B3)</f>
        <v>Apple Inc.</v>
      </c>
      <c r="H3" s="6"/>
      <c r="I3" s="207" t="str" cm="1">
        <f t="array" ref="I3">_xldudf_WISEPRICE(E2,I2)</f>
        <v>Apple Inc. is a global technology corporation that specializes in the conceptualization, production, and sale of a diverse suite of electronic devices. Its comprehensive hardware lineup features the well-known iPhone smartphones, Mac personal computers, and versatile iPad tablets. The company also supplies a range of wearables, smart home products, and accessories, including AirPods, Apple TV, Apple Watch, items from the Beats brand, and HomePod speakers. Beyond its device offerings, Apple delivers essential support services like AppleCare and robust cloud solutions. It oversees key digital platforms, prominently the App Store, which acts as a central hub for customers to discover and download countless applications and digital content, from e-books and music to videos, games, and podcasts. The company also generates revenue via advertising, leveraging both its proprietary ad platforms and third-party licensing deals. Apple's ecosystem is further bolstered by a wide array of subscription-based services: Apple Arcade for gaming, Apple Fitness+ for personalized wellness, Apple Music for curated audio experiences and on-demand radio, Apple News+ for access to news and magazines, and Apple TV+ for exclusive original video programming. Its financial services portfolio includes the co-branded Apple Card and the mobile payment system, Apple Pay. Additionally, Apple strategically licenses its intellectual property. The company serves a broad clientele that spans individual consumers, small and medium-sized enterprises, as well as institutional clients in the education, corporate, and governmental sectors. Products are distributed through a multi-channel strategy, utilizing Apple's own physical retail locations and online storefronts, a dedicated direct sales team, and collaborations with external partners such as mobile network providers, wholesalers, general retailers, and authorized resellers. The App Store additionally functions as the primary conduit for third-party applications designed for its devices. Founded in 1976, Apple Inc. is headquartered in Cupertino, California.</v>
      </c>
      <c r="J3" s="207"/>
      <c r="K3" s="207"/>
      <c r="L3" s="207"/>
      <c r="M3" s="207"/>
      <c r="N3" s="207"/>
      <c r="O3" s="207"/>
      <c r="P3" s="207"/>
      <c r="Q3" s="207"/>
      <c r="R3" s="207"/>
      <c r="S3" s="207"/>
      <c r="T3" s="207"/>
      <c r="U3" s="207"/>
      <c r="V3" s="207"/>
      <c r="W3" s="207"/>
      <c r="X3" s="207"/>
      <c r="Y3" s="208"/>
    </row>
    <row r="4" spans="2:31" x14ac:dyDescent="0.3">
      <c r="B4" s="7" t="s">
        <v>45</v>
      </c>
      <c r="E4" s="140" cm="1">
        <f t="array" ref="E4">_xldudf_WISE(E2,B4,Y13)/1000000</f>
        <v>4810109.09</v>
      </c>
      <c r="F4" s="112">
        <v>2577253</v>
      </c>
      <c r="G4" s="112"/>
      <c r="H4" s="139"/>
      <c r="I4" s="207"/>
      <c r="J4" s="207"/>
      <c r="K4" s="207"/>
      <c r="L4" s="207"/>
      <c r="M4" s="207"/>
      <c r="N4" s="207"/>
      <c r="O4" s="207"/>
      <c r="P4" s="207"/>
      <c r="Q4" s="207"/>
      <c r="R4" s="207"/>
      <c r="S4" s="207"/>
      <c r="T4" s="207"/>
      <c r="U4" s="207"/>
      <c r="V4" s="207"/>
      <c r="W4" s="207"/>
      <c r="X4" s="207"/>
      <c r="Y4" s="208"/>
    </row>
    <row r="5" spans="2:31" x14ac:dyDescent="0.3">
      <c r="B5" s="7" t="s">
        <v>67</v>
      </c>
      <c r="E5" t="str" cm="1">
        <f t="array" ref="E5:E10">_xldudf_WISEPRICE($E$2,B5:B10)</f>
        <v>Technology</v>
      </c>
      <c r="H5" s="6"/>
      <c r="I5" s="207"/>
      <c r="J5" s="207"/>
      <c r="K5" s="207"/>
      <c r="L5" s="207"/>
      <c r="M5" s="207"/>
      <c r="N5" s="207"/>
      <c r="O5" s="207"/>
      <c r="P5" s="207"/>
      <c r="Q5" s="207"/>
      <c r="R5" s="207"/>
      <c r="S5" s="207"/>
      <c r="T5" s="207"/>
      <c r="U5" s="207"/>
      <c r="V5" s="207"/>
      <c r="W5" s="207"/>
      <c r="X5" s="207"/>
      <c r="Y5" s="208"/>
    </row>
    <row r="6" spans="2:31" x14ac:dyDescent="0.3">
      <c r="B6" s="7" t="s">
        <v>68</v>
      </c>
      <c r="E6" t="str">
        <v>Consumer Electronics</v>
      </c>
      <c r="H6" s="6"/>
      <c r="I6" s="207"/>
      <c r="J6" s="207"/>
      <c r="K6" s="207"/>
      <c r="L6" s="207"/>
      <c r="M6" s="207"/>
      <c r="N6" s="207"/>
      <c r="O6" s="207"/>
      <c r="P6" s="207"/>
      <c r="Q6" s="207"/>
      <c r="R6" s="207"/>
      <c r="S6" s="207"/>
      <c r="T6" s="207"/>
      <c r="U6" s="207"/>
      <c r="V6" s="207"/>
      <c r="W6" s="207"/>
      <c r="X6" s="207"/>
      <c r="Y6" s="208"/>
    </row>
    <row r="7" spans="2:31" x14ac:dyDescent="0.3">
      <c r="B7" s="7" t="s">
        <v>69</v>
      </c>
      <c r="E7" t="str">
        <v>NASDAQ</v>
      </c>
      <c r="H7" s="6"/>
      <c r="I7" s="207"/>
      <c r="J7" s="207"/>
      <c r="K7" s="207"/>
      <c r="L7" s="207"/>
      <c r="M7" s="207"/>
      <c r="N7" s="207"/>
      <c r="O7" s="207"/>
      <c r="P7" s="207"/>
      <c r="Q7" s="207"/>
      <c r="R7" s="207"/>
      <c r="S7" s="207"/>
      <c r="T7" s="207"/>
      <c r="U7" s="207"/>
      <c r="V7" s="207"/>
      <c r="W7" s="207"/>
      <c r="X7" s="207"/>
      <c r="Y7" s="208"/>
    </row>
    <row r="8" spans="2:31" x14ac:dyDescent="0.3">
      <c r="B8" s="7" t="s">
        <v>70</v>
      </c>
      <c r="E8" t="str">
        <v>1980-12-12</v>
      </c>
      <c r="H8" s="6"/>
      <c r="I8" s="207"/>
      <c r="J8" s="207"/>
      <c r="K8" s="207"/>
      <c r="L8" s="207"/>
      <c r="M8" s="207"/>
      <c r="N8" s="207"/>
      <c r="O8" s="207"/>
      <c r="P8" s="207"/>
      <c r="Q8" s="207"/>
      <c r="R8" s="207"/>
      <c r="S8" s="207"/>
      <c r="T8" s="207"/>
      <c r="U8" s="207"/>
      <c r="V8" s="207"/>
      <c r="W8" s="207"/>
      <c r="X8" s="207"/>
      <c r="Y8" s="208"/>
    </row>
    <row r="9" spans="2:31" x14ac:dyDescent="0.3">
      <c r="B9" s="7" t="s">
        <v>71</v>
      </c>
      <c r="E9">
        <v>166000</v>
      </c>
      <c r="H9" s="6"/>
      <c r="I9" s="207"/>
      <c r="J9" s="207"/>
      <c r="K9" s="207"/>
      <c r="L9" s="207"/>
      <c r="M9" s="207"/>
      <c r="N9" s="207"/>
      <c r="O9" s="207"/>
      <c r="P9" s="207"/>
      <c r="Q9" s="207"/>
      <c r="R9" s="207"/>
      <c r="S9" s="207"/>
      <c r="T9" s="207"/>
      <c r="U9" s="207"/>
      <c r="V9" s="207"/>
      <c r="W9" s="207"/>
      <c r="X9" s="207"/>
      <c r="Y9" s="208"/>
    </row>
    <row r="10" spans="2:31" x14ac:dyDescent="0.3">
      <c r="B10" s="7" t="s">
        <v>72</v>
      </c>
      <c r="E10" t="str">
        <v>https://www.apple.com</v>
      </c>
      <c r="H10" s="6"/>
      <c r="I10" s="207"/>
      <c r="J10" s="207"/>
      <c r="K10" s="207"/>
      <c r="L10" s="207"/>
      <c r="M10" s="207"/>
      <c r="N10" s="207"/>
      <c r="O10" s="207"/>
      <c r="P10" s="207"/>
      <c r="Q10" s="207"/>
      <c r="R10" s="207"/>
      <c r="S10" s="207"/>
      <c r="T10" s="207"/>
      <c r="U10" s="207"/>
      <c r="V10" s="207"/>
      <c r="W10" s="207"/>
      <c r="X10" s="207"/>
      <c r="Y10" s="208"/>
    </row>
    <row r="11" spans="2:31" x14ac:dyDescent="0.3">
      <c r="B11" s="73" t="s">
        <v>324</v>
      </c>
      <c r="C11" s="14"/>
      <c r="D11" s="14"/>
      <c r="E11" s="213">
        <v>2023</v>
      </c>
      <c r="F11" s="213"/>
      <c r="G11" s="213"/>
      <c r="H11" s="214"/>
      <c r="I11" s="209"/>
      <c r="J11" s="209"/>
      <c r="K11" s="209"/>
      <c r="L11" s="209"/>
      <c r="M11" s="209"/>
      <c r="N11" s="209"/>
      <c r="O11" s="209"/>
      <c r="P11" s="209"/>
      <c r="Q11" s="209"/>
      <c r="R11" s="209"/>
      <c r="S11" s="209"/>
      <c r="T11" s="209"/>
      <c r="U11" s="209"/>
      <c r="V11" s="209"/>
      <c r="W11" s="209"/>
      <c r="X11" s="209"/>
      <c r="Y11" s="210"/>
    </row>
    <row r="13" spans="2:31" x14ac:dyDescent="0.3">
      <c r="B13" s="3" t="s">
        <v>73</v>
      </c>
      <c r="C13" s="4"/>
      <c r="D13" s="4"/>
      <c r="E13" s="4"/>
      <c r="F13" s="4"/>
      <c r="G13" s="4">
        <f t="shared" ref="G13:V13" si="0">H13-1</f>
        <v>2006</v>
      </c>
      <c r="H13" s="4">
        <f t="shared" si="0"/>
        <v>2007</v>
      </c>
      <c r="I13" s="4">
        <f t="shared" si="0"/>
        <v>2008</v>
      </c>
      <c r="J13" s="4">
        <f t="shared" si="0"/>
        <v>2009</v>
      </c>
      <c r="K13" s="4">
        <f t="shared" si="0"/>
        <v>2010</v>
      </c>
      <c r="L13" s="4">
        <f t="shared" si="0"/>
        <v>2011</v>
      </c>
      <c r="M13" s="4">
        <f t="shared" si="0"/>
        <v>2012</v>
      </c>
      <c r="N13" s="4">
        <f t="shared" si="0"/>
        <v>2013</v>
      </c>
      <c r="O13" s="4">
        <f t="shared" si="0"/>
        <v>2014</v>
      </c>
      <c r="P13" s="4">
        <f t="shared" si="0"/>
        <v>2015</v>
      </c>
      <c r="Q13" s="4">
        <f t="shared" si="0"/>
        <v>2016</v>
      </c>
      <c r="R13" s="4">
        <f t="shared" si="0"/>
        <v>2017</v>
      </c>
      <c r="S13" s="4">
        <f t="shared" si="0"/>
        <v>2018</v>
      </c>
      <c r="T13" s="4">
        <f t="shared" si="0"/>
        <v>2019</v>
      </c>
      <c r="U13" s="4">
        <f t="shared" si="0"/>
        <v>2020</v>
      </c>
      <c r="V13" s="4">
        <f t="shared" si="0"/>
        <v>2021</v>
      </c>
      <c r="W13" s="4">
        <f>X13-1</f>
        <v>2022</v>
      </c>
      <c r="X13" s="4">
        <f>E11</f>
        <v>2023</v>
      </c>
      <c r="Y13" s="113" t="s">
        <v>64</v>
      </c>
      <c r="AA13" s="3" t="s">
        <v>147</v>
      </c>
      <c r="AB13" s="64"/>
      <c r="AC13" s="64"/>
      <c r="AD13" s="64"/>
      <c r="AE13" s="65"/>
    </row>
    <row r="14" spans="2:31" x14ac:dyDescent="0.3">
      <c r="B14" s="114" t="s">
        <v>19</v>
      </c>
      <c r="C14" s="94"/>
      <c r="D14" s="94"/>
      <c r="E14" s="94"/>
      <c r="F14" s="94"/>
      <c r="G14" s="95" cm="1">
        <f t="array" ref="G14:Y15">_xldudf_WISE($E$2,$B14:$B15,G$13:Y$13)/1000000</f>
        <v>19315</v>
      </c>
      <c r="H14" s="95">
        <v>24006</v>
      </c>
      <c r="I14" s="95">
        <v>32479</v>
      </c>
      <c r="J14" s="95">
        <v>42603</v>
      </c>
      <c r="K14" s="95">
        <v>65225</v>
      </c>
      <c r="L14" s="95">
        <v>108249</v>
      </c>
      <c r="M14" s="95">
        <v>156508</v>
      </c>
      <c r="N14" s="95">
        <v>170910</v>
      </c>
      <c r="O14" s="95">
        <v>182795</v>
      </c>
      <c r="P14" s="95">
        <v>233715</v>
      </c>
      <c r="Q14" s="95">
        <v>215639</v>
      </c>
      <c r="R14" s="95">
        <v>229234</v>
      </c>
      <c r="S14" s="95">
        <v>265595</v>
      </c>
      <c r="T14" s="95">
        <v>260174</v>
      </c>
      <c r="U14" s="95">
        <v>274515</v>
      </c>
      <c r="V14" s="95">
        <v>365817</v>
      </c>
      <c r="W14" s="95">
        <v>394328</v>
      </c>
      <c r="X14" s="95">
        <v>383285</v>
      </c>
      <c r="Y14" s="115">
        <v>451442</v>
      </c>
      <c r="AA14" s="5"/>
      <c r="AD14" s="70">
        <f>E11</f>
        <v>2023</v>
      </c>
      <c r="AE14" s="141" t="s">
        <v>64</v>
      </c>
    </row>
    <row r="15" spans="2:31" x14ac:dyDescent="0.3">
      <c r="B15" s="116" t="s">
        <v>76</v>
      </c>
      <c r="C15" s="96"/>
      <c r="D15" s="96"/>
      <c r="E15" s="96"/>
      <c r="F15" s="96"/>
      <c r="G15" s="97">
        <v>5598</v>
      </c>
      <c r="H15" s="97">
        <v>8154</v>
      </c>
      <c r="I15" s="97">
        <v>11145</v>
      </c>
      <c r="J15" s="97">
        <v>16852</v>
      </c>
      <c r="K15" s="97">
        <v>25684</v>
      </c>
      <c r="L15" s="97">
        <v>43818</v>
      </c>
      <c r="M15" s="97">
        <v>68662</v>
      </c>
      <c r="N15" s="97">
        <v>64304</v>
      </c>
      <c r="O15" s="97">
        <v>70537</v>
      </c>
      <c r="P15" s="97">
        <v>93626</v>
      </c>
      <c r="Q15" s="97">
        <v>84263</v>
      </c>
      <c r="R15" s="97">
        <v>88186</v>
      </c>
      <c r="S15" s="97">
        <v>101839</v>
      </c>
      <c r="T15" s="97">
        <v>98392</v>
      </c>
      <c r="U15" s="97">
        <v>104956</v>
      </c>
      <c r="V15" s="97">
        <v>152836</v>
      </c>
      <c r="W15" s="97">
        <v>170782</v>
      </c>
      <c r="X15" s="97">
        <v>169148</v>
      </c>
      <c r="Y15" s="117">
        <v>216071</v>
      </c>
      <c r="AA15" s="5" t="s">
        <v>131</v>
      </c>
      <c r="AD15" s="11" cm="1">
        <f t="array" ref="AD15:AE15">_xldudf_WISE($E$2,"Total current assets",AD$14:AE$14)/1000000</f>
        <v>143566</v>
      </c>
      <c r="AE15" s="12">
        <v>144114</v>
      </c>
    </row>
    <row r="16" spans="2:31" x14ac:dyDescent="0.3">
      <c r="B16" s="114" t="s">
        <v>78</v>
      </c>
      <c r="C16" s="94"/>
      <c r="D16" s="94"/>
      <c r="E16" s="94"/>
      <c r="F16" s="94"/>
      <c r="G16" s="98">
        <f>IFERROR((G15/G14),"")</f>
        <v>0.28982655966865128</v>
      </c>
      <c r="H16" s="98">
        <f t="shared" ref="H16:Y16" si="1">IFERROR((H15/H14),"")</f>
        <v>0.33966508372906773</v>
      </c>
      <c r="I16" s="98">
        <f t="shared" si="1"/>
        <v>0.34314480125619629</v>
      </c>
      <c r="J16" s="98">
        <f t="shared" si="1"/>
        <v>0.39555899819261553</v>
      </c>
      <c r="K16" s="98">
        <f t="shared" si="1"/>
        <v>0.39377539287083174</v>
      </c>
      <c r="L16" s="98">
        <f t="shared" si="1"/>
        <v>0.40478895878945764</v>
      </c>
      <c r="M16" s="98">
        <f t="shared" si="1"/>
        <v>0.43871239808827661</v>
      </c>
      <c r="N16" s="98">
        <f t="shared" si="1"/>
        <v>0.37624480720847231</v>
      </c>
      <c r="O16" s="98">
        <f t="shared" si="1"/>
        <v>0.38588035777783858</v>
      </c>
      <c r="P16" s="98">
        <f t="shared" si="1"/>
        <v>0.40059902017414373</v>
      </c>
      <c r="Q16" s="98">
        <f t="shared" si="1"/>
        <v>0.39075955648097049</v>
      </c>
      <c r="R16" s="98">
        <f t="shared" si="1"/>
        <v>0.38469860491899105</v>
      </c>
      <c r="S16" s="98">
        <f t="shared" si="1"/>
        <v>0.38343718820007905</v>
      </c>
      <c r="T16" s="98">
        <f t="shared" si="1"/>
        <v>0.37817768109034722</v>
      </c>
      <c r="U16" s="98">
        <f t="shared" si="1"/>
        <v>0.38233247727810865</v>
      </c>
      <c r="V16" s="98">
        <f t="shared" si="1"/>
        <v>0.41779359625167778</v>
      </c>
      <c r="W16" s="98">
        <f t="shared" si="1"/>
        <v>0.43309630561360085</v>
      </c>
      <c r="X16" s="98">
        <f t="shared" si="1"/>
        <v>0.44131129577207562</v>
      </c>
      <c r="Y16" s="118">
        <f t="shared" si="1"/>
        <v>0.47862405358827936</v>
      </c>
      <c r="AA16" s="5" t="s">
        <v>133</v>
      </c>
      <c r="AD16" s="11" cm="1">
        <f t="array" ref="AD16:AE16">_xldudf_WISE($E$2,"Total current liabilities",AD$14:AE$14)/1000000</f>
        <v>145308</v>
      </c>
      <c r="AE16" s="12">
        <v>134641</v>
      </c>
    </row>
    <row r="17" spans="2:31" x14ac:dyDescent="0.3">
      <c r="B17" s="116" t="s">
        <v>80</v>
      </c>
      <c r="C17" s="96"/>
      <c r="D17" s="96"/>
      <c r="E17" s="96"/>
      <c r="F17" s="96"/>
      <c r="G17" s="97" cm="1">
        <f t="array" ref="G17:Y18">_xldudf_WISE($E$2,$B17:$B18,G$13:Y$13)/1000000</f>
        <v>2678</v>
      </c>
      <c r="H17" s="97">
        <v>4724</v>
      </c>
      <c r="I17" s="97">
        <v>7304</v>
      </c>
      <c r="J17" s="97">
        <v>12029</v>
      </c>
      <c r="K17" s="97">
        <v>19412</v>
      </c>
      <c r="L17" s="97">
        <v>36019</v>
      </c>
      <c r="M17" s="97">
        <v>59040</v>
      </c>
      <c r="N17" s="97">
        <v>57048</v>
      </c>
      <c r="O17" s="97">
        <v>61813</v>
      </c>
      <c r="P17" s="97">
        <v>84505</v>
      </c>
      <c r="Q17" s="97">
        <v>73333</v>
      </c>
      <c r="R17" s="97">
        <v>76569</v>
      </c>
      <c r="S17" s="97">
        <v>87046</v>
      </c>
      <c r="T17" s="97">
        <v>81860</v>
      </c>
      <c r="U17" s="97">
        <v>81020</v>
      </c>
      <c r="V17" s="97">
        <v>123136</v>
      </c>
      <c r="W17" s="97">
        <v>133138</v>
      </c>
      <c r="X17" s="97">
        <v>129188</v>
      </c>
      <c r="Y17" s="117">
        <v>160332</v>
      </c>
      <c r="AA17" s="5" t="s">
        <v>134</v>
      </c>
      <c r="AD17" s="11" cm="1">
        <f t="array" ref="AD17:AE17">_xldudf_WISE($E$2,"Working capital",AD$14:AE$14)/1000000</f>
        <v>-1742</v>
      </c>
      <c r="AE17" s="12">
        <v>9473</v>
      </c>
    </row>
    <row r="18" spans="2:31" x14ac:dyDescent="0.3">
      <c r="B18" s="114" t="s">
        <v>82</v>
      </c>
      <c r="C18" s="94"/>
      <c r="D18" s="94"/>
      <c r="E18" s="94"/>
      <c r="F18" s="94"/>
      <c r="G18" s="95">
        <v>1989</v>
      </c>
      <c r="H18" s="95">
        <v>3495</v>
      </c>
      <c r="I18" s="95">
        <v>4834</v>
      </c>
      <c r="J18" s="95">
        <v>8235</v>
      </c>
      <c r="K18" s="95">
        <v>14013</v>
      </c>
      <c r="L18" s="95">
        <v>25922</v>
      </c>
      <c r="M18" s="95">
        <v>41733</v>
      </c>
      <c r="N18" s="95">
        <v>37037</v>
      </c>
      <c r="O18" s="95">
        <v>39510</v>
      </c>
      <c r="P18" s="95">
        <v>53394</v>
      </c>
      <c r="Q18" s="95">
        <v>45687</v>
      </c>
      <c r="R18" s="95">
        <v>48351</v>
      </c>
      <c r="S18" s="95">
        <v>59531</v>
      </c>
      <c r="T18" s="95">
        <v>55256</v>
      </c>
      <c r="U18" s="95">
        <v>57411</v>
      </c>
      <c r="V18" s="95">
        <v>94680</v>
      </c>
      <c r="W18" s="95">
        <v>99803</v>
      </c>
      <c r="X18" s="95">
        <v>96995</v>
      </c>
      <c r="Y18" s="115">
        <v>122575</v>
      </c>
      <c r="AA18" s="5" t="s">
        <v>135</v>
      </c>
      <c r="AD18" s="11" cm="1">
        <f t="array" ref="AD18:AE20">_xldudf_WISE($E$2,$AA18:$AA20,AD$14:AE$14)/1000000</f>
        <v>352583</v>
      </c>
      <c r="AE18" s="12">
        <v>371082</v>
      </c>
    </row>
    <row r="19" spans="2:31" x14ac:dyDescent="0.3">
      <c r="B19" s="116" t="s">
        <v>84</v>
      </c>
      <c r="C19" s="96"/>
      <c r="D19" s="96"/>
      <c r="E19" s="96"/>
      <c r="F19" s="96"/>
      <c r="G19" s="99">
        <f>IFERROR((G18/G14),"")</f>
        <v>0.10297696091120891</v>
      </c>
      <c r="H19" s="99">
        <f t="shared" ref="H19:Y19" si="2">IFERROR((H18/H14),"")</f>
        <v>0.14558860284928768</v>
      </c>
      <c r="I19" s="99">
        <f t="shared" si="2"/>
        <v>0.14883463160811602</v>
      </c>
      <c r="J19" s="99">
        <f t="shared" si="2"/>
        <v>0.1932962467431871</v>
      </c>
      <c r="K19" s="99">
        <f t="shared" si="2"/>
        <v>0.21484093522422384</v>
      </c>
      <c r="L19" s="99">
        <f t="shared" si="2"/>
        <v>0.2394664153941376</v>
      </c>
      <c r="M19" s="99">
        <f t="shared" si="2"/>
        <v>0.26665090602397323</v>
      </c>
      <c r="N19" s="99">
        <f t="shared" si="2"/>
        <v>0.21670469837926393</v>
      </c>
      <c r="O19" s="99">
        <f t="shared" si="2"/>
        <v>0.21614376760852322</v>
      </c>
      <c r="P19" s="99">
        <f t="shared" si="2"/>
        <v>0.22845773698735639</v>
      </c>
      <c r="Q19" s="99">
        <f t="shared" si="2"/>
        <v>0.211867983064288</v>
      </c>
      <c r="R19" s="99">
        <f t="shared" si="2"/>
        <v>0.21092420845075338</v>
      </c>
      <c r="S19" s="99">
        <f t="shared" si="2"/>
        <v>0.22414202074587247</v>
      </c>
      <c r="T19" s="99">
        <f t="shared" si="2"/>
        <v>0.21238094505984456</v>
      </c>
      <c r="U19" s="99">
        <f t="shared" si="2"/>
        <v>0.20913611278072236</v>
      </c>
      <c r="V19" s="99">
        <f t="shared" si="2"/>
        <v>0.25881793355694238</v>
      </c>
      <c r="W19" s="99">
        <f t="shared" si="2"/>
        <v>0.25309640705199732</v>
      </c>
      <c r="X19" s="99">
        <f t="shared" si="2"/>
        <v>0.25306234264320282</v>
      </c>
      <c r="Y19" s="119">
        <f t="shared" si="2"/>
        <v>0.27151882190846222</v>
      </c>
      <c r="AA19" s="5" t="s">
        <v>136</v>
      </c>
      <c r="AD19" s="11">
        <v>-214</v>
      </c>
      <c r="AE19" s="12">
        <v>12359</v>
      </c>
    </row>
    <row r="20" spans="2:31" x14ac:dyDescent="0.3">
      <c r="B20" s="114" t="s">
        <v>86</v>
      </c>
      <c r="C20" s="94"/>
      <c r="D20" s="94"/>
      <c r="E20" s="94"/>
      <c r="F20" s="94"/>
      <c r="G20" s="100" cm="1">
        <f t="array" ref="G20:Y20">_xldudf_WISE(E2,B20,G13:Y13)</f>
        <v>0.08</v>
      </c>
      <c r="H20" s="100">
        <v>0.14000000000000001</v>
      </c>
      <c r="I20" s="100">
        <v>0.2</v>
      </c>
      <c r="J20" s="100">
        <v>0.33</v>
      </c>
      <c r="K20" s="100">
        <v>0.55000000000000004</v>
      </c>
      <c r="L20" s="100">
        <v>1</v>
      </c>
      <c r="M20" s="100">
        <v>1.59</v>
      </c>
      <c r="N20" s="100">
        <v>1.43</v>
      </c>
      <c r="O20" s="100">
        <v>1.62</v>
      </c>
      <c r="P20" s="100">
        <v>2.3199999999999998</v>
      </c>
      <c r="Q20" s="100">
        <v>2.09</v>
      </c>
      <c r="R20" s="100">
        <v>2.3199999999999998</v>
      </c>
      <c r="S20" s="100">
        <v>3</v>
      </c>
      <c r="T20" s="100">
        <v>2.99</v>
      </c>
      <c r="U20" s="100">
        <v>3.31</v>
      </c>
      <c r="V20" s="100">
        <v>5.67</v>
      </c>
      <c r="W20" s="100">
        <v>6.15</v>
      </c>
      <c r="X20" s="100">
        <v>6.16</v>
      </c>
      <c r="Y20" s="120">
        <v>8.2900000000000009</v>
      </c>
      <c r="AA20" s="5" t="s">
        <v>137</v>
      </c>
      <c r="AD20" s="11">
        <v>114301</v>
      </c>
      <c r="AE20" s="12">
        <v>147366</v>
      </c>
    </row>
    <row r="21" spans="2:31" x14ac:dyDescent="0.3">
      <c r="B21" s="132" t="s">
        <v>88</v>
      </c>
      <c r="C21" s="133"/>
      <c r="D21" s="133"/>
      <c r="E21" s="133"/>
      <c r="F21" s="133"/>
      <c r="G21" s="106" cm="1">
        <f t="array" ref="G21:Y21">_xldudf_WISE($E$2,$B21,G$13:Y$13)/1000000</f>
        <v>1563</v>
      </c>
      <c r="H21" s="106">
        <v>4484</v>
      </c>
      <c r="I21" s="106">
        <v>8397</v>
      </c>
      <c r="J21" s="106">
        <v>8946</v>
      </c>
      <c r="K21" s="106">
        <v>16474</v>
      </c>
      <c r="L21" s="106">
        <v>30077</v>
      </c>
      <c r="M21" s="106">
        <v>41454</v>
      </c>
      <c r="N21" s="106">
        <v>44590</v>
      </c>
      <c r="O21" s="106">
        <v>49900</v>
      </c>
      <c r="P21" s="106">
        <v>69778</v>
      </c>
      <c r="Q21" s="106">
        <v>52683</v>
      </c>
      <c r="R21" s="106">
        <v>51430</v>
      </c>
      <c r="S21" s="106">
        <v>64121</v>
      </c>
      <c r="T21" s="106">
        <v>58896</v>
      </c>
      <c r="U21" s="106">
        <v>73365</v>
      </c>
      <c r="V21" s="106">
        <v>92953</v>
      </c>
      <c r="W21" s="106">
        <v>111443</v>
      </c>
      <c r="X21" s="106">
        <v>99584</v>
      </c>
      <c r="Y21" s="121">
        <v>129174</v>
      </c>
      <c r="AA21" s="5" t="s">
        <v>138</v>
      </c>
      <c r="AD21" s="11" cm="1">
        <f t="array" ref="AD21:AE21">_xldudf_WISE($E$2,"Weighted Average Shs Out",AD$14:AE$14)/1000000</f>
        <v>15744.231</v>
      </c>
      <c r="AE21" s="12">
        <v>14710.718000000001</v>
      </c>
    </row>
    <row r="22" spans="2:31" x14ac:dyDescent="0.3">
      <c r="B22" s="114" t="s">
        <v>90</v>
      </c>
      <c r="C22" s="94"/>
      <c r="D22" s="94"/>
      <c r="E22" s="94"/>
      <c r="F22" s="94"/>
      <c r="G22" s="94"/>
      <c r="H22" s="101">
        <f>IFERROR((H14-G14)/G14,"")</f>
        <v>0.24286823712140823</v>
      </c>
      <c r="I22" s="101">
        <f t="shared" ref="I22:X23" si="3">IFERROR((I14-H14)/H14,"")</f>
        <v>0.35295342830958926</v>
      </c>
      <c r="J22" s="101">
        <f t="shared" si="3"/>
        <v>0.31170910434434557</v>
      </c>
      <c r="K22" s="101">
        <f t="shared" si="3"/>
        <v>0.53099546980259604</v>
      </c>
      <c r="L22" s="101">
        <f t="shared" si="3"/>
        <v>0.65962437715599842</v>
      </c>
      <c r="M22" s="101">
        <f t="shared" si="3"/>
        <v>0.44581474193756987</v>
      </c>
      <c r="N22" s="101">
        <f t="shared" si="3"/>
        <v>9.202085516395328E-2</v>
      </c>
      <c r="O22" s="101">
        <f t="shared" si="3"/>
        <v>6.9539523725937621E-2</v>
      </c>
      <c r="P22" s="101">
        <f t="shared" si="3"/>
        <v>0.2785634180365984</v>
      </c>
      <c r="Q22" s="101">
        <f t="shared" si="3"/>
        <v>-7.734206191301371E-2</v>
      </c>
      <c r="R22" s="101">
        <f t="shared" si="3"/>
        <v>6.3045181993980681E-2</v>
      </c>
      <c r="S22" s="101">
        <f t="shared" si="3"/>
        <v>0.15861957650261305</v>
      </c>
      <c r="T22" s="101">
        <f t="shared" si="3"/>
        <v>-2.0410775805267418E-2</v>
      </c>
      <c r="U22" s="101">
        <f t="shared" si="3"/>
        <v>5.5120803769784836E-2</v>
      </c>
      <c r="V22" s="101">
        <f t="shared" si="3"/>
        <v>0.33259384733074693</v>
      </c>
      <c r="W22" s="101">
        <f t="shared" si="3"/>
        <v>7.7937876041846058E-2</v>
      </c>
      <c r="X22" s="101">
        <f t="shared" si="3"/>
        <v>-2.8004605303199367E-2</v>
      </c>
      <c r="Y22" s="122"/>
      <c r="AA22" s="5" t="s">
        <v>139</v>
      </c>
      <c r="AD22" s="142" cm="1">
        <f t="array" ref="AD22">_xldudf_WISEPRICE($E$2,"price")</f>
        <v>327.5</v>
      </c>
      <c r="AE22" s="143" cm="1">
        <f t="array" ref="AE22">_xldudf_WISEPRICE($E$2,"price")</f>
        <v>327.5</v>
      </c>
    </row>
    <row r="23" spans="2:31" x14ac:dyDescent="0.3">
      <c r="B23" s="116" t="s">
        <v>92</v>
      </c>
      <c r="C23" s="96"/>
      <c r="D23" s="96"/>
      <c r="E23" s="96"/>
      <c r="F23" s="94"/>
      <c r="G23" s="96"/>
      <c r="H23" s="102">
        <f>IFERROR((H15-G15)/G15,"")</f>
        <v>0.45659163987138263</v>
      </c>
      <c r="I23" s="102">
        <f t="shared" si="3"/>
        <v>0.36681383370125092</v>
      </c>
      <c r="J23" s="102">
        <f t="shared" si="3"/>
        <v>0.51206819201435616</v>
      </c>
      <c r="K23" s="102">
        <f t="shared" si="3"/>
        <v>0.52409209589366246</v>
      </c>
      <c r="L23" s="102">
        <f t="shared" si="3"/>
        <v>0.70604267248092201</v>
      </c>
      <c r="M23" s="102">
        <f t="shared" si="3"/>
        <v>0.56698160573280387</v>
      </c>
      <c r="N23" s="102">
        <f t="shared" si="3"/>
        <v>-6.3470332935248022E-2</v>
      </c>
      <c r="O23" s="102">
        <f t="shared" si="3"/>
        <v>9.6930206519034584E-2</v>
      </c>
      <c r="P23" s="102">
        <f t="shared" si="3"/>
        <v>0.32733175496547912</v>
      </c>
      <c r="Q23" s="102">
        <f t="shared" si="3"/>
        <v>-0.10000427231751864</v>
      </c>
      <c r="R23" s="102">
        <f t="shared" si="3"/>
        <v>4.6556614409645987E-2</v>
      </c>
      <c r="S23" s="102">
        <f t="shared" si="3"/>
        <v>0.15482049304878326</v>
      </c>
      <c r="T23" s="102">
        <f t="shared" si="3"/>
        <v>-3.3847543671874231E-2</v>
      </c>
      <c r="U23" s="102">
        <f t="shared" si="3"/>
        <v>6.6712740873241722E-2</v>
      </c>
      <c r="V23" s="102">
        <f t="shared" si="3"/>
        <v>0.45619116582186819</v>
      </c>
      <c r="W23" s="102">
        <f t="shared" si="3"/>
        <v>0.11741997958596143</v>
      </c>
      <c r="X23" s="102">
        <f t="shared" si="3"/>
        <v>-9.5677530418896602E-3</v>
      </c>
      <c r="Y23" s="123"/>
      <c r="AA23" s="5" t="s">
        <v>132</v>
      </c>
      <c r="AD23" s="11" cm="1">
        <f t="array" ref="AD23:AE25">_xldudf_WISE($E$2,$AA23:$AA25,AD$14:AE$14)/1000000</f>
        <v>2695569.78951</v>
      </c>
      <c r="AE23" s="12">
        <v>4810109.09</v>
      </c>
    </row>
    <row r="24" spans="2:31" x14ac:dyDescent="0.3">
      <c r="B24" s="114" t="s">
        <v>94</v>
      </c>
      <c r="C24" s="94"/>
      <c r="D24" s="94"/>
      <c r="E24" s="94"/>
      <c r="F24" s="94"/>
      <c r="G24" s="94"/>
      <c r="H24" s="101">
        <f>IFERROR((H18-G18)/G18,"")</f>
        <v>0.75716440422322773</v>
      </c>
      <c r="I24" s="101">
        <f t="shared" ref="I24:X24" si="4">IFERROR((I18-H18)/H18,"")</f>
        <v>0.38311874105865523</v>
      </c>
      <c r="J24" s="101">
        <f t="shared" si="4"/>
        <v>0.70355812991311539</v>
      </c>
      <c r="K24" s="101">
        <f t="shared" si="4"/>
        <v>0.70163934426229513</v>
      </c>
      <c r="L24" s="101">
        <f t="shared" si="4"/>
        <v>0.84985370727181897</v>
      </c>
      <c r="M24" s="101">
        <f t="shared" si="4"/>
        <v>0.60994522027621323</v>
      </c>
      <c r="N24" s="101">
        <f t="shared" si="4"/>
        <v>-0.11252486042220784</v>
      </c>
      <c r="O24" s="101">
        <f t="shared" si="4"/>
        <v>6.677106677106677E-2</v>
      </c>
      <c r="P24" s="101">
        <f t="shared" si="4"/>
        <v>0.35140470766894455</v>
      </c>
      <c r="Q24" s="101">
        <f t="shared" si="4"/>
        <v>-0.14434206090571974</v>
      </c>
      <c r="R24" s="101">
        <f t="shared" si="4"/>
        <v>5.8309803664061986E-2</v>
      </c>
      <c r="S24" s="101">
        <f t="shared" si="4"/>
        <v>0.23122582780087278</v>
      </c>
      <c r="T24" s="101">
        <f t="shared" si="4"/>
        <v>-7.1811325191916811E-2</v>
      </c>
      <c r="U24" s="101">
        <f t="shared" si="4"/>
        <v>3.9000289561314606E-2</v>
      </c>
      <c r="V24" s="101">
        <f t="shared" si="4"/>
        <v>0.64916131055024295</v>
      </c>
      <c r="W24" s="101">
        <f t="shared" si="4"/>
        <v>5.4108576256865229E-2</v>
      </c>
      <c r="X24" s="101">
        <f t="shared" si="4"/>
        <v>-2.8135426790777834E-2</v>
      </c>
      <c r="Y24" s="122"/>
      <c r="AA24" s="5" t="s">
        <v>140</v>
      </c>
      <c r="AD24" s="11">
        <v>290437</v>
      </c>
      <c r="AE24" s="12">
        <v>264591</v>
      </c>
    </row>
    <row r="25" spans="2:31" x14ac:dyDescent="0.3">
      <c r="B25" s="116" t="s">
        <v>96</v>
      </c>
      <c r="C25" s="96"/>
      <c r="D25" s="96"/>
      <c r="E25" s="96"/>
      <c r="F25" s="94"/>
      <c r="G25" s="96"/>
      <c r="H25" s="102">
        <f>IFERROR((H20-G20)/G20,"")</f>
        <v>0.75000000000000011</v>
      </c>
      <c r="I25" s="102">
        <f t="shared" ref="I25:X25" si="5">IFERROR((I20-H20)/H20,"")</f>
        <v>0.42857142857142849</v>
      </c>
      <c r="J25" s="102">
        <f t="shared" si="5"/>
        <v>0.65</v>
      </c>
      <c r="K25" s="102">
        <f t="shared" si="5"/>
        <v>0.66666666666666674</v>
      </c>
      <c r="L25" s="102">
        <f t="shared" si="5"/>
        <v>0.81818181818181801</v>
      </c>
      <c r="M25" s="102">
        <f t="shared" si="5"/>
        <v>0.59000000000000008</v>
      </c>
      <c r="N25" s="102">
        <f t="shared" si="5"/>
        <v>-0.10062893081761015</v>
      </c>
      <c r="O25" s="102">
        <f t="shared" si="5"/>
        <v>0.132867132867133</v>
      </c>
      <c r="P25" s="102">
        <f t="shared" si="5"/>
        <v>0.43209876543209857</v>
      </c>
      <c r="Q25" s="102">
        <f t="shared" si="5"/>
        <v>-9.9137931034482762E-2</v>
      </c>
      <c r="R25" s="102">
        <f t="shared" si="5"/>
        <v>0.11004784688995216</v>
      </c>
      <c r="S25" s="102">
        <f t="shared" si="5"/>
        <v>0.29310344827586216</v>
      </c>
      <c r="T25" s="102">
        <f t="shared" si="5"/>
        <v>-3.3333333333332624E-3</v>
      </c>
      <c r="U25" s="102">
        <f t="shared" si="5"/>
        <v>0.1070234113712374</v>
      </c>
      <c r="V25" s="102">
        <f t="shared" si="5"/>
        <v>0.71299093655589119</v>
      </c>
      <c r="W25" s="102">
        <f t="shared" si="5"/>
        <v>8.4656084656084735E-2</v>
      </c>
      <c r="X25" s="102">
        <f t="shared" si="5"/>
        <v>1.6260162601625669E-3</v>
      </c>
      <c r="Y25" s="123"/>
      <c r="AA25" s="5" t="s">
        <v>19</v>
      </c>
      <c r="AD25" s="11">
        <v>383285</v>
      </c>
      <c r="AE25" s="12">
        <v>451442</v>
      </c>
    </row>
    <row r="26" spans="2:31" x14ac:dyDescent="0.3">
      <c r="B26" s="131" t="s">
        <v>98</v>
      </c>
      <c r="C26" s="107"/>
      <c r="D26" s="107"/>
      <c r="E26" s="107"/>
      <c r="F26" s="107"/>
      <c r="G26" s="107"/>
      <c r="H26" s="108">
        <f>IFERROR((H21-G21)/G21,"")</f>
        <v>1.8688419705694177</v>
      </c>
      <c r="I26" s="108">
        <f t="shared" ref="I26:X26" si="6">IFERROR((I21-H21)/H21,"")</f>
        <v>0.87265834076717219</v>
      </c>
      <c r="J26" s="108">
        <f t="shared" si="6"/>
        <v>6.5380493033226156E-2</v>
      </c>
      <c r="K26" s="108">
        <f t="shared" si="6"/>
        <v>0.84149340487368651</v>
      </c>
      <c r="L26" s="108">
        <f t="shared" si="6"/>
        <v>0.82572538545586982</v>
      </c>
      <c r="M26" s="108">
        <f t="shared" si="6"/>
        <v>0.37826245968680389</v>
      </c>
      <c r="N26" s="108">
        <f t="shared" si="6"/>
        <v>7.5650118203309691E-2</v>
      </c>
      <c r="O26" s="108">
        <f t="shared" si="6"/>
        <v>0.11908499663601704</v>
      </c>
      <c r="P26" s="108">
        <f t="shared" si="6"/>
        <v>0.39835671342685369</v>
      </c>
      <c r="Q26" s="108">
        <f t="shared" si="6"/>
        <v>-0.24499125798962423</v>
      </c>
      <c r="R26" s="108">
        <f t="shared" si="6"/>
        <v>-2.3783763263291763E-2</v>
      </c>
      <c r="S26" s="108">
        <f t="shared" si="6"/>
        <v>0.24676258992805755</v>
      </c>
      <c r="T26" s="108">
        <f t="shared" si="6"/>
        <v>-8.1486564464060135E-2</v>
      </c>
      <c r="U26" s="108">
        <f t="shared" si="6"/>
        <v>0.24567033414832926</v>
      </c>
      <c r="V26" s="108">
        <f t="shared" si="6"/>
        <v>0.26699379813262453</v>
      </c>
      <c r="W26" s="108">
        <f t="shared" si="6"/>
        <v>0.19891773261755941</v>
      </c>
      <c r="X26" s="108">
        <f t="shared" si="6"/>
        <v>-0.10641314393905404</v>
      </c>
      <c r="Y26" s="124"/>
      <c r="AA26" s="5"/>
      <c r="AE26" s="6"/>
    </row>
    <row r="27" spans="2:31" x14ac:dyDescent="0.3">
      <c r="B27" s="116" t="s">
        <v>100</v>
      </c>
      <c r="C27" s="96"/>
      <c r="D27" s="96"/>
      <c r="E27" s="96"/>
      <c r="F27" s="94"/>
      <c r="G27" s="97" cm="1">
        <f t="array" ref="G27:Y30">_xldudf_WISE($E$2,$B27:$B30,G$13:Y$13)/1000000</f>
        <v>6392</v>
      </c>
      <c r="H27" s="97">
        <v>9352</v>
      </c>
      <c r="I27" s="97">
        <v>11875</v>
      </c>
      <c r="J27" s="97">
        <v>5263</v>
      </c>
      <c r="K27" s="97">
        <v>11261</v>
      </c>
      <c r="L27" s="97">
        <v>9815</v>
      </c>
      <c r="M27" s="97">
        <v>10746</v>
      </c>
      <c r="N27" s="97">
        <v>14259</v>
      </c>
      <c r="O27" s="97">
        <v>13844</v>
      </c>
      <c r="P27" s="97">
        <v>21120</v>
      </c>
      <c r="Q27" s="97">
        <v>20484</v>
      </c>
      <c r="R27" s="97">
        <v>20289</v>
      </c>
      <c r="S27" s="97">
        <v>25913</v>
      </c>
      <c r="T27" s="97">
        <v>48844</v>
      </c>
      <c r="U27" s="97">
        <v>38016</v>
      </c>
      <c r="V27" s="97">
        <v>34940</v>
      </c>
      <c r="W27" s="97">
        <v>23646</v>
      </c>
      <c r="X27" s="97">
        <v>29965</v>
      </c>
      <c r="Y27" s="117">
        <v>36328</v>
      </c>
      <c r="AA27" s="144" t="s">
        <v>145</v>
      </c>
      <c r="AB27" s="145"/>
      <c r="AC27" s="145"/>
      <c r="AD27" s="205" t="s">
        <v>146</v>
      </c>
      <c r="AE27" s="206"/>
    </row>
    <row r="28" spans="2:31" x14ac:dyDescent="0.3">
      <c r="B28" s="114" t="s">
        <v>102</v>
      </c>
      <c r="C28" s="94"/>
      <c r="D28" s="94"/>
      <c r="E28" s="94"/>
      <c r="F28" s="94"/>
      <c r="G28" s="95">
        <v>2433</v>
      </c>
      <c r="H28" s="95">
        <v>2963</v>
      </c>
      <c r="I28" s="95">
        <v>3761</v>
      </c>
      <c r="J28" s="95">
        <v>4149</v>
      </c>
      <c r="K28" s="95">
        <v>5517</v>
      </c>
      <c r="L28" s="95">
        <v>7599</v>
      </c>
      <c r="M28" s="95">
        <v>10040</v>
      </c>
      <c r="N28" s="95">
        <v>10830</v>
      </c>
      <c r="O28" s="95">
        <v>11993</v>
      </c>
      <c r="P28" s="95">
        <v>14329</v>
      </c>
      <c r="Q28" s="95">
        <v>14194</v>
      </c>
      <c r="R28" s="95">
        <v>15261</v>
      </c>
      <c r="S28" s="95">
        <v>16705</v>
      </c>
      <c r="T28" s="95">
        <v>18245</v>
      </c>
      <c r="U28" s="95">
        <v>19916</v>
      </c>
      <c r="V28" s="95">
        <v>21973</v>
      </c>
      <c r="W28" s="95">
        <v>25094</v>
      </c>
      <c r="X28" s="95">
        <v>24932</v>
      </c>
      <c r="Y28" s="115">
        <v>28667</v>
      </c>
      <c r="AA28" s="146">
        <v>1.2</v>
      </c>
      <c r="AD28" s="66">
        <f>(AD15-AD16)/AD18</f>
        <v>-4.9406806340634686E-3</v>
      </c>
      <c r="AE28" s="9">
        <f>(AE15-AE16)/AE18</f>
        <v>2.5528050403953843E-2</v>
      </c>
    </row>
    <row r="29" spans="2:31" x14ac:dyDescent="0.3">
      <c r="B29" s="116" t="s">
        <v>104</v>
      </c>
      <c r="C29" s="96"/>
      <c r="D29" s="96"/>
      <c r="E29" s="96"/>
      <c r="F29" s="94"/>
      <c r="G29" s="97">
        <v>0</v>
      </c>
      <c r="H29" s="97">
        <v>0</v>
      </c>
      <c r="I29" s="97">
        <v>0</v>
      </c>
      <c r="J29" s="97">
        <v>0</v>
      </c>
      <c r="K29" s="97">
        <v>0</v>
      </c>
      <c r="L29" s="97">
        <v>0</v>
      </c>
      <c r="M29" s="97">
        <v>0</v>
      </c>
      <c r="N29" s="97">
        <v>0</v>
      </c>
      <c r="O29" s="97">
        <v>6308</v>
      </c>
      <c r="P29" s="97">
        <v>10999</v>
      </c>
      <c r="Q29" s="97">
        <v>11605</v>
      </c>
      <c r="R29" s="97">
        <v>18473</v>
      </c>
      <c r="S29" s="97">
        <v>20748</v>
      </c>
      <c r="T29" s="97">
        <v>16240</v>
      </c>
      <c r="U29" s="97">
        <v>15229</v>
      </c>
      <c r="V29" s="97">
        <v>17141</v>
      </c>
      <c r="W29" s="97">
        <v>22773</v>
      </c>
      <c r="X29" s="97">
        <v>17382</v>
      </c>
      <c r="Y29" s="117">
        <v>10307</v>
      </c>
      <c r="AA29" s="146">
        <v>1.4</v>
      </c>
      <c r="AD29" s="66">
        <f>AD19/AD18</f>
        <v>-6.0694928570010471E-4</v>
      </c>
      <c r="AE29" s="9">
        <f>AE19/AE18</f>
        <v>3.3305307182779006E-2</v>
      </c>
    </row>
    <row r="30" spans="2:31" x14ac:dyDescent="0.3">
      <c r="B30" s="131" t="s">
        <v>106</v>
      </c>
      <c r="C30" s="107"/>
      <c r="D30" s="107"/>
      <c r="E30" s="107"/>
      <c r="F30" s="107"/>
      <c r="G30" s="109">
        <v>712</v>
      </c>
      <c r="H30" s="109">
        <v>782</v>
      </c>
      <c r="I30" s="109">
        <v>1109</v>
      </c>
      <c r="J30" s="109">
        <v>1333</v>
      </c>
      <c r="K30" s="109">
        <v>1782</v>
      </c>
      <c r="L30" s="109">
        <v>2429</v>
      </c>
      <c r="M30" s="109">
        <v>3381</v>
      </c>
      <c r="N30" s="109">
        <v>4475</v>
      </c>
      <c r="O30" s="109">
        <v>6041</v>
      </c>
      <c r="P30" s="109">
        <v>8067</v>
      </c>
      <c r="Q30" s="109">
        <v>10045</v>
      </c>
      <c r="R30" s="109">
        <v>11581</v>
      </c>
      <c r="S30" s="109">
        <v>14236</v>
      </c>
      <c r="T30" s="109">
        <v>16217</v>
      </c>
      <c r="U30" s="109">
        <v>18752</v>
      </c>
      <c r="V30" s="109">
        <v>21914</v>
      </c>
      <c r="W30" s="109">
        <v>26251</v>
      </c>
      <c r="X30" s="109">
        <v>29915</v>
      </c>
      <c r="Y30" s="125">
        <v>40038</v>
      </c>
      <c r="AA30" s="146">
        <v>3.3</v>
      </c>
      <c r="AD30" s="66">
        <f>AD20/AD18</f>
        <v>0.32418182385424144</v>
      </c>
      <c r="AE30" s="9">
        <f>AE20/AE18</f>
        <v>0.39712516371044676</v>
      </c>
    </row>
    <row r="31" spans="2:31" x14ac:dyDescent="0.3">
      <c r="B31" s="116" t="s">
        <v>108</v>
      </c>
      <c r="C31" s="96"/>
      <c r="D31" s="96"/>
      <c r="E31" s="96"/>
      <c r="F31" s="94"/>
      <c r="G31" s="103">
        <f>IFERROR(G14/G45,"")</f>
        <v>0.78609799432886163</v>
      </c>
      <c r="H31" s="103">
        <f t="shared" ref="H31:Y31" si="7">IFERROR(H14/H45,"")</f>
        <v>0.96408957109379467</v>
      </c>
      <c r="I31" s="103">
        <f t="shared" si="7"/>
        <v>1.2857933042627419</v>
      </c>
      <c r="J31" s="103">
        <f t="shared" si="7"/>
        <v>1.677536720040032</v>
      </c>
      <c r="K31" s="103">
        <f t="shared" si="7"/>
        <v>2.5191215820023318</v>
      </c>
      <c r="L31" s="103">
        <f t="shared" si="7"/>
        <v>4.1275357411673728</v>
      </c>
      <c r="M31" s="103">
        <f t="shared" si="7"/>
        <v>5.9126710261288169</v>
      </c>
      <c r="N31" s="103">
        <f t="shared" si="7"/>
        <v>6.5516556126884762</v>
      </c>
      <c r="O31" s="103">
        <f t="shared" si="7"/>
        <v>7.4638682547120432</v>
      </c>
      <c r="P31" s="103">
        <f t="shared" si="7"/>
        <v>10.085975154102256</v>
      </c>
      <c r="Q31" s="103">
        <f t="shared" si="7"/>
        <v>9.8012719713774619</v>
      </c>
      <c r="R31" s="103">
        <f t="shared" si="7"/>
        <v>10.912387855190289</v>
      </c>
      <c r="S31" s="103">
        <f t="shared" si="7"/>
        <v>13.27946050776093</v>
      </c>
      <c r="T31" s="103">
        <f t="shared" si="7"/>
        <v>13.991120074735752</v>
      </c>
      <c r="U31" s="103">
        <f t="shared" si="7"/>
        <v>15.661321798102191</v>
      </c>
      <c r="V31" s="103">
        <f t="shared" si="7"/>
        <v>21.691002488657073</v>
      </c>
      <c r="W31" s="103">
        <f t="shared" si="7"/>
        <v>24.153642766712043</v>
      </c>
      <c r="X31" s="103">
        <f t="shared" si="7"/>
        <v>24.239295541698628</v>
      </c>
      <c r="Y31" s="126">
        <f t="shared" si="7"/>
        <v>30.56869478603058</v>
      </c>
      <c r="AA31" s="146">
        <v>0.6</v>
      </c>
      <c r="AD31" s="66">
        <f>AD23/AD24</f>
        <v>9.2810826083109248</v>
      </c>
      <c r="AE31" s="9">
        <f>AE23/AE24</f>
        <v>18.17941309417176</v>
      </c>
    </row>
    <row r="32" spans="2:31" x14ac:dyDescent="0.3">
      <c r="B32" s="114" t="s">
        <v>110</v>
      </c>
      <c r="C32" s="94"/>
      <c r="D32" s="94"/>
      <c r="E32" s="94"/>
      <c r="F32" s="94"/>
      <c r="G32" s="100">
        <f>IFERROR(G18/G45,"")</f>
        <v>8.0949982434382894E-2</v>
      </c>
      <c r="H32" s="100">
        <f t="shared" ref="H32:Y32" si="8">IFERROR(H18/H45,"")</f>
        <v>0.14036045367711458</v>
      </c>
      <c r="I32" s="100">
        <f t="shared" si="8"/>
        <v>0.19137057276412742</v>
      </c>
      <c r="J32" s="100">
        <f t="shared" si="8"/>
        <v>0.32426155175761479</v>
      </c>
      <c r="K32" s="100">
        <f t="shared" si="8"/>
        <v>0.54121043662090718</v>
      </c>
      <c r="L32" s="100">
        <f t="shared" si="8"/>
        <v>0.98840618834853577</v>
      </c>
      <c r="M32" s="100">
        <f t="shared" si="8"/>
        <v>1.5766190861389444</v>
      </c>
      <c r="N32" s="100">
        <f t="shared" si="8"/>
        <v>1.4197745534324679</v>
      </c>
      <c r="O32" s="100">
        <f t="shared" si="8"/>
        <v>1.6132686055071137</v>
      </c>
      <c r="P32" s="100">
        <f t="shared" si="8"/>
        <v>2.3042190590169045</v>
      </c>
      <c r="Q32" s="100">
        <f t="shared" si="8"/>
        <v>2.0765757240402807</v>
      </c>
      <c r="R32" s="100">
        <f t="shared" si="8"/>
        <v>2.3016867706636259</v>
      </c>
      <c r="S32" s="100">
        <f t="shared" si="8"/>
        <v>2.9764851126245446</v>
      </c>
      <c r="T32" s="100">
        <f t="shared" si="8"/>
        <v>2.9714473039181422</v>
      </c>
      <c r="U32" s="100">
        <f t="shared" si="8"/>
        <v>3.2753479618630856</v>
      </c>
      <c r="V32" s="100">
        <f t="shared" si="8"/>
        <v>5.6140204408927188</v>
      </c>
      <c r="W32" s="100">
        <f t="shared" si="8"/>
        <v>6.1132002014722815</v>
      </c>
      <c r="X32" s="100">
        <f t="shared" si="8"/>
        <v>6.1340529138031972</v>
      </c>
      <c r="Y32" s="120">
        <f t="shared" si="8"/>
        <v>8.2999759955823755</v>
      </c>
      <c r="AA32" s="146">
        <v>1</v>
      </c>
      <c r="AD32" s="66">
        <f>AD25/AD18</f>
        <v>1.0870773690166571</v>
      </c>
      <c r="AE32" s="9">
        <f>AE25/AE18</f>
        <v>1.2165559094755336</v>
      </c>
    </row>
    <row r="33" spans="2:31" x14ac:dyDescent="0.3">
      <c r="B33" s="116" t="s">
        <v>112</v>
      </c>
      <c r="C33" s="96"/>
      <c r="D33" s="96"/>
      <c r="E33" s="96"/>
      <c r="F33" s="94"/>
      <c r="G33" s="103">
        <f>IFERROR(G21/G45,"")</f>
        <v>6.36122788059027E-2</v>
      </c>
      <c r="H33" s="103">
        <f t="shared" ref="H33:Y33" si="9">IFERROR(H21/H45,"")</f>
        <v>0.18007904843724801</v>
      </c>
      <c r="I33" s="103">
        <f t="shared" si="9"/>
        <v>0.33242422414157591</v>
      </c>
      <c r="J33" s="103">
        <f t="shared" si="9"/>
        <v>0.35225790431373671</v>
      </c>
      <c r="K33" s="103">
        <f t="shared" si="9"/>
        <v>0.63625924019787528</v>
      </c>
      <c r="L33" s="103">
        <f t="shared" si="9"/>
        <v>1.1468363909790491</v>
      </c>
      <c r="M33" s="103">
        <f t="shared" si="9"/>
        <v>1.5660788248341553</v>
      </c>
      <c r="N33" s="103">
        <f t="shared" si="9"/>
        <v>1.7093108874248386</v>
      </c>
      <c r="O33" s="103">
        <f t="shared" si="9"/>
        <v>2.0375121087017205</v>
      </c>
      <c r="P33" s="103">
        <f t="shared" si="9"/>
        <v>3.0112708824976879</v>
      </c>
      <c r="Q33" s="103">
        <f t="shared" si="9"/>
        <v>2.3945594779612169</v>
      </c>
      <c r="R33" s="103">
        <f t="shared" si="9"/>
        <v>2.4482585802823165</v>
      </c>
      <c r="S33" s="103">
        <f t="shared" si="9"/>
        <v>3.2059801096336096</v>
      </c>
      <c r="T33" s="103">
        <f t="shared" si="9"/>
        <v>3.1671919865998786</v>
      </c>
      <c r="U33" s="103">
        <f t="shared" si="9"/>
        <v>4.185537670865954</v>
      </c>
      <c r="V33" s="103">
        <f t="shared" si="9"/>
        <v>5.5116185260065578</v>
      </c>
      <c r="W33" s="103">
        <f t="shared" si="9"/>
        <v>6.8261812776437125</v>
      </c>
      <c r="X33" s="103">
        <f t="shared" si="9"/>
        <v>6.2977836524375226</v>
      </c>
      <c r="Y33" s="126">
        <f t="shared" si="9"/>
        <v>8.7468170446939233</v>
      </c>
      <c r="AA33" s="5"/>
      <c r="AD33" s="71">
        <f>SUMPRODUCT(AA28:AA32,AD28:AD32)</f>
        <v>7.7187484069613523</v>
      </c>
      <c r="AE33" s="147">
        <f>SUMPRODUCT(AA28:AA32,AE28:AE32)</f>
        <v>13.5119778967637</v>
      </c>
    </row>
    <row r="34" spans="2:31" x14ac:dyDescent="0.3">
      <c r="B34" s="114" t="s">
        <v>114</v>
      </c>
      <c r="C34" s="94"/>
      <c r="D34" s="94"/>
      <c r="E34" s="94"/>
      <c r="F34" s="94"/>
      <c r="G34" s="100">
        <f>IFERROR(G27/G45,"")</f>
        <v>0.26014695209682026</v>
      </c>
      <c r="H34" s="100">
        <f t="shared" ref="H34:Y34" si="10">IFERROR(H27/H45,"")</f>
        <v>0.37557967461756092</v>
      </c>
      <c r="I34" s="100">
        <f t="shared" si="10"/>
        <v>0.47011285717294438</v>
      </c>
      <c r="J34" s="100">
        <f t="shared" si="10"/>
        <v>0.20723601055255941</v>
      </c>
      <c r="K34" s="100">
        <f t="shared" si="10"/>
        <v>0.43492262376279428</v>
      </c>
      <c r="L34" s="100">
        <f t="shared" si="10"/>
        <v>0.37424607432454587</v>
      </c>
      <c r="M34" s="100">
        <f t="shared" si="10"/>
        <v>0.40597006444897554</v>
      </c>
      <c r="N34" s="100">
        <f t="shared" si="10"/>
        <v>0.54660381125343738</v>
      </c>
      <c r="O34" s="100">
        <f t="shared" si="10"/>
        <v>0.56527690647027284</v>
      </c>
      <c r="P34" s="100">
        <f t="shared" si="10"/>
        <v>0.91143399120569768</v>
      </c>
      <c r="Q34" s="100">
        <f t="shared" si="10"/>
        <v>0.93104334124020205</v>
      </c>
      <c r="R34" s="100">
        <f t="shared" si="10"/>
        <v>0.96583158342111453</v>
      </c>
      <c r="S34" s="100">
        <f t="shared" si="10"/>
        <v>1.2956217554457312</v>
      </c>
      <c r="T34" s="100">
        <f t="shared" si="10"/>
        <v>2.6266355167326214</v>
      </c>
      <c r="U34" s="100">
        <f t="shared" si="10"/>
        <v>2.1688461813622313</v>
      </c>
      <c r="V34" s="100">
        <f t="shared" si="10"/>
        <v>2.0717561703083187</v>
      </c>
      <c r="W34" s="100">
        <f t="shared" si="10"/>
        <v>1.4483806294802117</v>
      </c>
      <c r="X34" s="100">
        <f t="shared" si="10"/>
        <v>1.8950141302346801</v>
      </c>
      <c r="Y34" s="120">
        <f t="shared" si="10"/>
        <v>2.4598941706507569</v>
      </c>
      <c r="AA34" s="77"/>
      <c r="AB34" s="77"/>
      <c r="AC34" s="77"/>
      <c r="AD34" s="77"/>
      <c r="AE34" s="77"/>
    </row>
    <row r="35" spans="2:31" x14ac:dyDescent="0.3">
      <c r="B35" s="132" t="s">
        <v>116</v>
      </c>
      <c r="C35" s="133"/>
      <c r="D35" s="133"/>
      <c r="E35" s="133"/>
      <c r="F35" s="107"/>
      <c r="G35" s="110" cm="1">
        <f t="array" ref="G35">IF(_xldudf_WISE($E$2,$B35,G$13)="unavailable","",_xldudf_WISE($E$2,$B35,G$13))</f>
        <v>0.41495963549999998</v>
      </c>
      <c r="H35" s="110" cm="1">
        <f t="array" ref="H35">IF(_xldudf_WISE($E$2,$B35,H$13)="unavailable","",_xldudf_WISE($E$2,$B35,H$13))</f>
        <v>0.58635983179999995</v>
      </c>
      <c r="I35" s="110" cm="1">
        <f t="array" ref="I35">IF(_xldudf_WISE($E$2,$B35,I$13)="unavailable","",_xldudf_WISE($E$2,$B35,I$13))</f>
        <v>0.88334513020000005</v>
      </c>
      <c r="J35" s="110" cm="1">
        <f t="array" ref="J35">IF(_xldudf_WISE($E$2,$B35,J$13)="unavailable","",_xldudf_WISE($E$2,$B35,J$13))</f>
        <v>1.2472568406</v>
      </c>
      <c r="K35" s="110" cm="1">
        <f t="array" ref="K35">IF(_xldudf_WISE($E$2,$B35,K$13)="unavailable","",_xldudf_WISE($E$2,$B35,K$13))</f>
        <v>1.8342086016000001</v>
      </c>
      <c r="L35" s="110" cm="1">
        <f t="array" ref="L35">IF(_xldudf_WISE($E$2,$B35,L$13)="unavailable","",_xldudf_WISE($E$2,$B35,L$13))</f>
        <v>2.7892230391999999</v>
      </c>
      <c r="M35" s="110" cm="1">
        <f t="array" ref="M35">IF(_xldudf_WISE($E$2,$B35,M$13)="unavailable","",_xldudf_WISE($E$2,$B35,M$13))</f>
        <v>4.3114155129</v>
      </c>
      <c r="N35" s="110" cm="1">
        <f t="array" ref="N35">IF(_xldudf_WISE($E$2,$B35,N$13)="unavailable","",_xldudf_WISE($E$2,$B35,N$13))</f>
        <v>4.5463654163999996</v>
      </c>
      <c r="O35" s="110" cm="1">
        <f t="array" ref="O35">IF(_xldudf_WISE($E$2,$B35,O$13)="unavailable","",_xldudf_WISE($E$2,$B35,O$13))</f>
        <v>4.2226515436999996</v>
      </c>
      <c r="P35" s="110" cm="1">
        <f t="array" ref="P35">IF(_xldudf_WISE($E$2,$B35,P$13)="unavailable","",_xldudf_WISE($E$2,$B35,P$13))</f>
        <v>4.7947994766999997</v>
      </c>
      <c r="Q35" s="110" cm="1">
        <f t="array" ref="Q35">IF(_xldudf_WISE($E$2,$B35,Q$13)="unavailable","",_xldudf_WISE($E$2,$B35,Q$13))</f>
        <v>5.4666850673000003</v>
      </c>
      <c r="R35" s="110" cm="1">
        <f t="array" ref="R35">IF(_xldudf_WISE($E$2,$B35,R$13)="unavailable","",_xldudf_WISE($E$2,$B35,R$13))</f>
        <v>6.0392061552999996</v>
      </c>
      <c r="S35" s="110" cm="1">
        <f t="array" ref="S35">IF(_xldudf_WISE($E$2,$B35,S$13)="unavailable","",_xldudf_WISE($E$2,$B35,S$13))</f>
        <v>5.4055927530999996</v>
      </c>
      <c r="T35" s="110" cm="1">
        <f t="array" ref="T35">IF(_xldudf_WISE($E$2,$B35,T$13)="unavailable","",_xldudf_WISE($E$2,$B35,T$13))</f>
        <v>4.8988335224000004</v>
      </c>
      <c r="U35" s="110" cm="1">
        <f t="array" ref="U35">IF(_xldudf_WISE($E$2,$B35,U$13)="unavailable","",_xldudf_WISE($E$2,$B35,U$13))</f>
        <v>3.7654767120999999</v>
      </c>
      <c r="V35" s="110" cm="1">
        <f t="array" ref="V35">IF(_xldudf_WISE($E$2,$B35,V$13)="unavailable","",_xldudf_WISE($E$2,$B35,V$13))</f>
        <v>3.7775565837</v>
      </c>
      <c r="W35" s="110" cm="1">
        <f t="array" ref="W35">IF(_xldudf_WISE($E$2,$B35,W$13)="unavailable","",_xldudf_WISE($E$2,$B35,W$13))</f>
        <v>3.1248221273999999</v>
      </c>
      <c r="X35" s="110" cm="1">
        <f t="array" ref="X35">IF(_xldudf_WISE($E$2,$B35,X$13)="unavailable","",_xldudf_WISE($E$2,$B35,X$13))</f>
        <v>3.9472235894000001</v>
      </c>
      <c r="Y35" s="127" cm="1">
        <f t="array" ref="Y35">IF(_xldudf_WISE($E$2,$B35,Y$13)="unavailable","",_xldudf_WISE($E$2,$B35,Y$13))</f>
        <v>5.7887725126672951</v>
      </c>
      <c r="AA35" s="3" t="s">
        <v>303</v>
      </c>
      <c r="AB35" s="4"/>
      <c r="AC35" s="4"/>
      <c r="AD35" s="64"/>
      <c r="AE35" s="65"/>
    </row>
    <row r="36" spans="2:31" x14ac:dyDescent="0.3">
      <c r="B36" s="114" t="s">
        <v>99</v>
      </c>
      <c r="C36" s="94"/>
      <c r="D36" s="94"/>
      <c r="E36" s="94"/>
      <c r="F36" s="94"/>
      <c r="G36" s="104" cm="1">
        <f t="array" ref="G36:Y43">_xldudf_WISE(E2,B36:B43,G13:Y13)</f>
        <v>0</v>
      </c>
      <c r="H36" s="104">
        <v>0</v>
      </c>
      <c r="I36" s="104">
        <v>0</v>
      </c>
      <c r="J36" s="104">
        <v>0</v>
      </c>
      <c r="K36" s="104">
        <v>0</v>
      </c>
      <c r="L36" s="104">
        <v>0</v>
      </c>
      <c r="M36" s="104">
        <v>0</v>
      </c>
      <c r="N36" s="104">
        <v>0.13727347039999999</v>
      </c>
      <c r="O36" s="104">
        <v>0.31641370899999999</v>
      </c>
      <c r="P36" s="104">
        <v>0.53896359599999999</v>
      </c>
      <c r="Q36" s="104">
        <v>0.67861737710000003</v>
      </c>
      <c r="R36" s="104">
        <v>0.86298089479999995</v>
      </c>
      <c r="S36" s="104">
        <v>1.0684666860000001</v>
      </c>
      <c r="T36" s="104">
        <v>1.1940478295000001</v>
      </c>
      <c r="U36" s="104">
        <v>1.8714397221000001</v>
      </c>
      <c r="V36" s="104">
        <v>2.1639245522000001</v>
      </c>
      <c r="W36" s="104">
        <v>2.6144616356000001</v>
      </c>
      <c r="X36" s="104">
        <v>1.9941750072</v>
      </c>
      <c r="Y36" s="128">
        <v>0.7954756740006198</v>
      </c>
      <c r="AA36" s="5"/>
      <c r="AB36" s="1"/>
      <c r="AC36" s="1"/>
      <c r="AD36" s="174">
        <f>E11</f>
        <v>2023</v>
      </c>
      <c r="AE36" s="175" t="s">
        <v>64</v>
      </c>
    </row>
    <row r="37" spans="2:31" x14ac:dyDescent="0.3">
      <c r="B37" s="116" t="s">
        <v>103</v>
      </c>
      <c r="C37" s="96"/>
      <c r="D37" s="96"/>
      <c r="E37" s="96"/>
      <c r="F37" s="94"/>
      <c r="G37" s="105">
        <v>-2.3868558626</v>
      </c>
      <c r="H37" s="105">
        <v>-1.9796782388</v>
      </c>
      <c r="I37" s="105">
        <v>-1.6258214677</v>
      </c>
      <c r="J37" s="105">
        <v>-0.4375259789</v>
      </c>
      <c r="K37" s="105">
        <v>-0.58010508959999996</v>
      </c>
      <c r="L37" s="105">
        <v>-0.272495072</v>
      </c>
      <c r="M37" s="105">
        <v>-0.1820121951</v>
      </c>
      <c r="N37" s="105">
        <v>4.7346094499999998E-2</v>
      </c>
      <c r="O37" s="105">
        <v>0.34703055989999998</v>
      </c>
      <c r="P37" s="105">
        <v>0.5113070233</v>
      </c>
      <c r="Q37" s="105">
        <v>0.90747685219999996</v>
      </c>
      <c r="R37" s="105">
        <v>1.2458174979000001</v>
      </c>
      <c r="S37" s="105">
        <v>1.0175079842999999</v>
      </c>
      <c r="T37" s="105">
        <v>0.72322257509999999</v>
      </c>
      <c r="U37" s="105">
        <v>1.0400148112000001</v>
      </c>
      <c r="V37" s="105">
        <v>0.82495777029999995</v>
      </c>
      <c r="W37" s="105">
        <v>0.81745256799999999</v>
      </c>
      <c r="X37" s="105">
        <v>0.72735083749999996</v>
      </c>
      <c r="Y37" s="129">
        <v>0.3017675822667964</v>
      </c>
      <c r="AA37" s="5" t="s">
        <v>140</v>
      </c>
      <c r="AB37" s="1"/>
      <c r="AC37" s="1"/>
      <c r="AD37" s="173" cm="1">
        <f t="array" ref="AD37:AE40">_xldudf_WISE($E$2,$AA37:$AA40,AD$36:AE$36)/1000000</f>
        <v>290437</v>
      </c>
      <c r="AE37" s="176">
        <v>264591</v>
      </c>
    </row>
    <row r="38" spans="2:31" x14ac:dyDescent="0.3">
      <c r="B38" s="114" t="s">
        <v>120</v>
      </c>
      <c r="C38" s="94"/>
      <c r="D38" s="94"/>
      <c r="E38" s="94"/>
      <c r="F38" s="94"/>
      <c r="G38" s="104">
        <v>32.675950729</v>
      </c>
      <c r="H38" s="104">
        <v>37.958108572199997</v>
      </c>
      <c r="I38" s="104">
        <v>23.387537873399999</v>
      </c>
      <c r="J38" s="104">
        <v>19.766741864699998</v>
      </c>
      <c r="K38" s="104">
        <v>18.971947860099998</v>
      </c>
      <c r="L38" s="104">
        <v>14.416185797900001</v>
      </c>
      <c r="M38" s="104">
        <v>14.9461717597</v>
      </c>
      <c r="N38" s="104">
        <v>12.060258128899999</v>
      </c>
      <c r="O38" s="104">
        <v>15.5196718481</v>
      </c>
      <c r="P38" s="104">
        <v>12.361547310900001</v>
      </c>
      <c r="Q38" s="104">
        <v>13.4977308731</v>
      </c>
      <c r="R38" s="104">
        <v>16.6300870104</v>
      </c>
      <c r="S38" s="104">
        <v>18.792325200699999</v>
      </c>
      <c r="T38" s="104">
        <v>18.2888155596</v>
      </c>
      <c r="U38" s="104">
        <v>33.935934251600003</v>
      </c>
      <c r="V38" s="104">
        <v>25.916253509099999</v>
      </c>
      <c r="W38" s="104">
        <v>24.441823533299999</v>
      </c>
      <c r="X38" s="104">
        <v>27.790811789399999</v>
      </c>
      <c r="Y38" s="128">
        <v>39.505428226779252</v>
      </c>
      <c r="AA38" s="83" t="s">
        <v>135</v>
      </c>
      <c r="AD38" s="173">
        <v>352583</v>
      </c>
      <c r="AE38" s="176">
        <v>371082</v>
      </c>
    </row>
    <row r="39" spans="2:31" x14ac:dyDescent="0.3">
      <c r="B39" s="116" t="s">
        <v>122</v>
      </c>
      <c r="C39" s="96"/>
      <c r="D39" s="96"/>
      <c r="E39" s="96"/>
      <c r="F39" s="94"/>
      <c r="G39" s="105">
        <v>6.5096620593000001</v>
      </c>
      <c r="H39" s="105">
        <v>9.1290661616000008</v>
      </c>
      <c r="I39" s="105">
        <v>5.0704291196</v>
      </c>
      <c r="J39" s="105">
        <v>5.1447256401999999</v>
      </c>
      <c r="K39" s="105">
        <v>5.5628445809000002</v>
      </c>
      <c r="L39" s="105">
        <v>4.8775875253000001</v>
      </c>
      <c r="M39" s="105">
        <v>5.2766143816</v>
      </c>
      <c r="N39" s="105">
        <v>3.6153734980999999</v>
      </c>
      <c r="O39" s="105">
        <v>5.4970750868999998</v>
      </c>
      <c r="P39" s="105">
        <v>5.5299941948000004</v>
      </c>
      <c r="Q39" s="105">
        <v>4.8083870471000001</v>
      </c>
      <c r="R39" s="105">
        <v>5.9985030403000001</v>
      </c>
      <c r="S39" s="105">
        <v>10.4410381207</v>
      </c>
      <c r="T39" s="105">
        <v>11.1679647308</v>
      </c>
      <c r="U39" s="105">
        <v>29.8182696601</v>
      </c>
      <c r="V39" s="105">
        <v>38.8928654658</v>
      </c>
      <c r="W39" s="105">
        <v>48.140340110700002</v>
      </c>
      <c r="X39" s="105">
        <v>43.374791450899998</v>
      </c>
      <c r="Y39" s="129">
        <v>45.241007643838451</v>
      </c>
      <c r="AA39" s="5" t="s">
        <v>304</v>
      </c>
      <c r="AD39" s="173">
        <v>62146</v>
      </c>
      <c r="AE39" s="176">
        <v>106491</v>
      </c>
    </row>
    <row r="40" spans="2:31" x14ac:dyDescent="0.3">
      <c r="B40" s="114" t="s">
        <v>105</v>
      </c>
      <c r="C40" s="94"/>
      <c r="D40" s="94"/>
      <c r="E40" s="94"/>
      <c r="F40" s="94"/>
      <c r="G40" s="104">
        <v>2.2519012882</v>
      </c>
      <c r="H40" s="104">
        <v>2.3659482759000001</v>
      </c>
      <c r="I40" s="104">
        <v>2.6411407446999999</v>
      </c>
      <c r="J40" s="104">
        <v>2.7424821831999999</v>
      </c>
      <c r="K40" s="104">
        <v>2.0112923462999999</v>
      </c>
      <c r="L40" s="104">
        <v>1.6084376117000001</v>
      </c>
      <c r="M40" s="104">
        <v>1.4958486846000001</v>
      </c>
      <c r="N40" s="104">
        <v>1.6786385084</v>
      </c>
      <c r="O40" s="104">
        <v>1.0801128483</v>
      </c>
      <c r="P40" s="104">
        <v>1.1087706239999999</v>
      </c>
      <c r="Q40" s="104">
        <v>1.3526694175</v>
      </c>
      <c r="R40" s="104">
        <v>1.2760628484000001</v>
      </c>
      <c r="S40" s="104">
        <v>1.1329261876000001</v>
      </c>
      <c r="T40" s="104">
        <v>1.5401256172</v>
      </c>
      <c r="U40" s="104">
        <v>1.3636044482</v>
      </c>
      <c r="V40" s="104">
        <v>1.0745531196</v>
      </c>
      <c r="W40" s="104">
        <v>0.87935602859999995</v>
      </c>
      <c r="X40" s="104">
        <v>0.98801167180000005</v>
      </c>
      <c r="Y40" s="128">
        <v>1.07035746912159</v>
      </c>
      <c r="AA40" s="5" t="s">
        <v>80</v>
      </c>
      <c r="AB40" s="1"/>
      <c r="AC40" s="1"/>
      <c r="AD40" s="173">
        <v>129188</v>
      </c>
      <c r="AE40" s="176">
        <v>160332</v>
      </c>
    </row>
    <row r="41" spans="2:31" x14ac:dyDescent="0.3">
      <c r="B41" s="132" t="s">
        <v>125</v>
      </c>
      <c r="C41" s="133"/>
      <c r="D41" s="133"/>
      <c r="E41" s="133"/>
      <c r="F41" s="107"/>
      <c r="G41" s="111">
        <v>0.19921875</v>
      </c>
      <c r="H41" s="111">
        <v>0.2405037159</v>
      </c>
      <c r="I41" s="111">
        <v>0.2168004664</v>
      </c>
      <c r="J41" s="111">
        <v>0.26027180779999998</v>
      </c>
      <c r="K41" s="111">
        <v>0.29321420349999999</v>
      </c>
      <c r="L41" s="111">
        <v>0.33834105590000002</v>
      </c>
      <c r="M41" s="111">
        <v>0.35304119789999999</v>
      </c>
      <c r="N41" s="111">
        <v>0.2997757975</v>
      </c>
      <c r="O41" s="111">
        <v>0.35420047160000001</v>
      </c>
      <c r="P41" s="111">
        <v>0.44735453060000002</v>
      </c>
      <c r="Q41" s="111">
        <v>0.3562366958</v>
      </c>
      <c r="R41" s="111">
        <v>0.3607018434</v>
      </c>
      <c r="S41" s="111">
        <v>0.55560118339999998</v>
      </c>
      <c r="T41" s="111">
        <v>0.61064450530000003</v>
      </c>
      <c r="U41" s="111">
        <v>0.87866358529999999</v>
      </c>
      <c r="V41" s="111">
        <v>1.5007132668000001</v>
      </c>
      <c r="W41" s="111">
        <v>1.9695887274999999</v>
      </c>
      <c r="X41" s="111">
        <v>1.5607601455</v>
      </c>
      <c r="Y41" s="130">
        <v>1.4668924498270723</v>
      </c>
      <c r="AA41" s="5"/>
      <c r="AB41" s="1"/>
      <c r="AC41" s="1"/>
      <c r="AD41" s="1"/>
      <c r="AE41" s="177"/>
    </row>
    <row r="42" spans="2:31" x14ac:dyDescent="0.3">
      <c r="B42" s="114" t="s">
        <v>126</v>
      </c>
      <c r="C42" s="94"/>
      <c r="D42" s="94"/>
      <c r="E42" s="94"/>
      <c r="F42" s="94"/>
      <c r="G42" s="104">
        <v>0</v>
      </c>
      <c r="H42" s="104">
        <v>0</v>
      </c>
      <c r="I42" s="104">
        <v>0</v>
      </c>
      <c r="J42" s="104">
        <v>0</v>
      </c>
      <c r="K42" s="104">
        <v>0</v>
      </c>
      <c r="L42" s="104">
        <v>0</v>
      </c>
      <c r="M42" s="104">
        <v>5.3</v>
      </c>
      <c r="N42" s="104">
        <v>11.799999999999999</v>
      </c>
      <c r="O42" s="104">
        <v>7.28</v>
      </c>
      <c r="P42" s="104">
        <v>2.0300000000000002</v>
      </c>
      <c r="Q42" s="104">
        <v>2.23</v>
      </c>
      <c r="R42" s="104">
        <v>2.46</v>
      </c>
      <c r="S42" s="104">
        <v>2.82</v>
      </c>
      <c r="T42" s="104">
        <v>3.04</v>
      </c>
      <c r="U42" s="104">
        <v>2.6149999999999998</v>
      </c>
      <c r="V42" s="104">
        <v>0.86499999999999999</v>
      </c>
      <c r="W42" s="104">
        <v>0.91</v>
      </c>
      <c r="X42" s="104">
        <v>0.95</v>
      </c>
      <c r="Y42" s="128">
        <v>1.05</v>
      </c>
      <c r="AA42" s="5" t="s">
        <v>305</v>
      </c>
      <c r="AD42" s="178">
        <f>AD37/AD39</f>
        <v>4.6734624915521517</v>
      </c>
      <c r="AE42" s="179">
        <f>AE37/AE39</f>
        <v>2.4846325041552806</v>
      </c>
    </row>
    <row r="43" spans="2:31" x14ac:dyDescent="0.3">
      <c r="B43" s="116" t="s">
        <v>127</v>
      </c>
      <c r="C43" s="96"/>
      <c r="D43" s="96"/>
      <c r="E43" s="96"/>
      <c r="F43" s="94"/>
      <c r="G43" s="148">
        <v>0</v>
      </c>
      <c r="H43" s="148">
        <v>0</v>
      </c>
      <c r="I43" s="148">
        <v>0</v>
      </c>
      <c r="J43" s="148">
        <v>0</v>
      </c>
      <c r="K43" s="148">
        <v>0</v>
      </c>
      <c r="L43" s="148">
        <v>0</v>
      </c>
      <c r="M43" s="148">
        <v>3.9887865999999996E-3</v>
      </c>
      <c r="N43" s="148">
        <v>2.36502637E-2</v>
      </c>
      <c r="O43" s="148">
        <v>1.8144687499999999E-2</v>
      </c>
      <c r="P43" s="148">
        <v>1.7515805299999999E-2</v>
      </c>
      <c r="Q43" s="148">
        <v>1.9702569699999999E-2</v>
      </c>
      <c r="R43" s="148">
        <v>1.5880234300000001E-2</v>
      </c>
      <c r="S43" s="148">
        <v>1.2256800199999999E-2</v>
      </c>
      <c r="T43" s="148">
        <v>1.39713675E-2</v>
      </c>
      <c r="U43" s="148">
        <v>7.2273414999999997E-3</v>
      </c>
      <c r="V43" s="148">
        <v>5.8958715000000002E-3</v>
      </c>
      <c r="W43" s="148">
        <v>6.0839546000000001E-3</v>
      </c>
      <c r="X43" s="148">
        <v>5.5739607E-3</v>
      </c>
      <c r="Y43" s="129">
        <v>3.206106870229008E-3</v>
      </c>
      <c r="AA43" s="5" t="s">
        <v>306</v>
      </c>
      <c r="AB43" s="1"/>
      <c r="AC43" s="1"/>
      <c r="AD43" s="172">
        <f>AD37/AD38</f>
        <v>0.82374079294804348</v>
      </c>
      <c r="AE43" s="180">
        <f>AE37/AE38</f>
        <v>0.71302569243455627</v>
      </c>
    </row>
    <row r="44" spans="2:31" x14ac:dyDescent="0.3">
      <c r="B44" s="114" t="s">
        <v>128</v>
      </c>
      <c r="C44" s="94"/>
      <c r="D44" s="94"/>
      <c r="E44" s="94"/>
      <c r="F44" s="94"/>
      <c r="G44" s="94"/>
      <c r="H44" s="101" t="str">
        <f>IFERROR((H43-G43)/G43,"")</f>
        <v/>
      </c>
      <c r="I44" s="101" t="str">
        <f t="shared" ref="I44:Y44" si="11">IFERROR((I43-H43)/H43,"")</f>
        <v/>
      </c>
      <c r="J44" s="101" t="str">
        <f t="shared" si="11"/>
        <v/>
      </c>
      <c r="K44" s="101" t="str">
        <f t="shared" si="11"/>
        <v/>
      </c>
      <c r="L44" s="101" t="str">
        <f t="shared" si="11"/>
        <v/>
      </c>
      <c r="M44" s="101" t="str">
        <f t="shared" si="11"/>
        <v/>
      </c>
      <c r="N44" s="101">
        <f t="shared" si="11"/>
        <v>4.9291875128140479</v>
      </c>
      <c r="O44" s="101">
        <f t="shared" si="11"/>
        <v>-0.23279132401386293</v>
      </c>
      <c r="P44" s="101">
        <f t="shared" si="11"/>
        <v>-3.4659301792880147E-2</v>
      </c>
      <c r="Q44" s="101">
        <f t="shared" si="11"/>
        <v>0.12484521051395789</v>
      </c>
      <c r="R44" s="101">
        <f t="shared" si="11"/>
        <v>-0.19400187174569408</v>
      </c>
      <c r="S44" s="101">
        <f t="shared" si="11"/>
        <v>-0.22817258433019474</v>
      </c>
      <c r="T44" s="101">
        <f t="shared" si="11"/>
        <v>0.13988702369481398</v>
      </c>
      <c r="U44" s="101">
        <f t="shared" si="11"/>
        <v>-0.48270335742009507</v>
      </c>
      <c r="V44" s="101">
        <f t="shared" si="11"/>
        <v>-0.18422680040786776</v>
      </c>
      <c r="W44" s="101">
        <f t="shared" si="11"/>
        <v>3.1900813984836671E-2</v>
      </c>
      <c r="X44" s="101">
        <f t="shared" si="11"/>
        <v>-8.3826052876857446E-2</v>
      </c>
      <c r="Y44" s="122">
        <f t="shared" si="11"/>
        <v>-0.42480633739864582</v>
      </c>
      <c r="AA44" s="5"/>
      <c r="AE44" s="6"/>
    </row>
    <row r="45" spans="2:31" x14ac:dyDescent="0.3">
      <c r="B45" s="116" t="s">
        <v>143</v>
      </c>
      <c r="C45" s="96"/>
      <c r="D45" s="96"/>
      <c r="E45" s="96"/>
      <c r="F45" s="94"/>
      <c r="G45" s="97" cm="1">
        <f t="array" ref="G45:Y45">_xldudf_WISE($E$2,$B45,G$13:Y$13)/1000000</f>
        <v>24570.727999999999</v>
      </c>
      <c r="H45" s="97">
        <v>24900.175999999999</v>
      </c>
      <c r="I45" s="97">
        <v>25259.892</v>
      </c>
      <c r="J45" s="97">
        <v>25396.165396</v>
      </c>
      <c r="K45" s="97">
        <v>25891.961890999999</v>
      </c>
      <c r="L45" s="97">
        <v>26226.06</v>
      </c>
      <c r="M45" s="97">
        <v>26469.932000000001</v>
      </c>
      <c r="N45" s="97">
        <v>26086.536</v>
      </c>
      <c r="O45" s="97">
        <v>24490.651999999998</v>
      </c>
      <c r="P45" s="97">
        <v>23172.276000000002</v>
      </c>
      <c r="Q45" s="97">
        <v>22001.124</v>
      </c>
      <c r="R45" s="97">
        <v>21006.768</v>
      </c>
      <c r="S45" s="97">
        <v>20000.436000000002</v>
      </c>
      <c r="T45" s="97">
        <v>18595.651999999998</v>
      </c>
      <c r="U45" s="97">
        <v>17528.214</v>
      </c>
      <c r="V45" s="97">
        <v>16864.919000000002</v>
      </c>
      <c r="W45" s="97">
        <v>16325.819</v>
      </c>
      <c r="X45" s="97">
        <v>15812.547</v>
      </c>
      <c r="Y45" s="117">
        <v>14768.115</v>
      </c>
      <c r="AA45" s="5" t="s">
        <v>307</v>
      </c>
      <c r="AD45" s="181">
        <f>(AD37-X27)/AD40</f>
        <v>2.0162244171285257</v>
      </c>
      <c r="AE45" s="182">
        <f>(AE37-Y27)/AE40</f>
        <v>1.4236895940922585</v>
      </c>
    </row>
    <row r="46" spans="2:31" x14ac:dyDescent="0.3">
      <c r="B46" s="131" t="s">
        <v>144</v>
      </c>
      <c r="C46" s="107"/>
      <c r="D46" s="107"/>
      <c r="E46" s="107"/>
      <c r="F46" s="107"/>
      <c r="G46" s="107"/>
      <c r="H46" s="134">
        <f>IFERROR((H45-G45)/G45,"")</f>
        <v>1.3408149730036503E-2</v>
      </c>
      <c r="I46" s="134">
        <f t="shared" ref="I46:Y46" si="12">IFERROR((I45-H45)/H45,"")</f>
        <v>1.4446323592250929E-2</v>
      </c>
      <c r="J46" s="134">
        <f t="shared" si="12"/>
        <v>5.3948526779132909E-3</v>
      </c>
      <c r="K46" s="134">
        <f t="shared" si="12"/>
        <v>1.9522494332080885E-2</v>
      </c>
      <c r="L46" s="134">
        <f t="shared" si="12"/>
        <v>1.2903545525305838E-2</v>
      </c>
      <c r="M46" s="134">
        <f t="shared" si="12"/>
        <v>9.2988424490754382E-3</v>
      </c>
      <c r="N46" s="134">
        <f t="shared" si="12"/>
        <v>-1.4484207968498017E-2</v>
      </c>
      <c r="O46" s="134">
        <f t="shared" si="12"/>
        <v>-6.1176539499150133E-2</v>
      </c>
      <c r="P46" s="134">
        <f t="shared" si="12"/>
        <v>-5.3831804886207056E-2</v>
      </c>
      <c r="Q46" s="134">
        <f t="shared" si="12"/>
        <v>-5.0541086253245118E-2</v>
      </c>
      <c r="R46" s="134">
        <f t="shared" si="12"/>
        <v>-4.5195690911064353E-2</v>
      </c>
      <c r="S46" s="134">
        <f t="shared" si="12"/>
        <v>-4.7905132288793714E-2</v>
      </c>
      <c r="T46" s="134">
        <f t="shared" si="12"/>
        <v>-7.0237668818819904E-2</v>
      </c>
      <c r="U46" s="134">
        <f t="shared" si="12"/>
        <v>-5.7402558404512971E-2</v>
      </c>
      <c r="V46" s="134">
        <f t="shared" si="12"/>
        <v>-3.7841562180835897E-2</v>
      </c>
      <c r="W46" s="134">
        <f t="shared" si="12"/>
        <v>-3.1965762776566084E-2</v>
      </c>
      <c r="X46" s="134">
        <f t="shared" si="12"/>
        <v>-3.1439280320331803E-2</v>
      </c>
      <c r="Y46" s="134">
        <f t="shared" si="12"/>
        <v>-6.6050839248098403E-2</v>
      </c>
      <c r="AA46" s="85" t="s">
        <v>308</v>
      </c>
      <c r="AB46" s="183"/>
      <c r="AC46" s="183"/>
      <c r="AD46" s="184">
        <f>AD37/AD40</f>
        <v>2.2481732049416356</v>
      </c>
      <c r="AE46" s="185">
        <f>AE37/AE40</f>
        <v>1.6502694409101115</v>
      </c>
    </row>
  </sheetData>
  <mergeCells count="4">
    <mergeCell ref="AD27:AE27"/>
    <mergeCell ref="I3:Y11"/>
    <mergeCell ref="E2:H2"/>
    <mergeCell ref="E11:H11"/>
  </mergeCells>
  <conditionalFormatting sqref="G14:Y14">
    <cfRule type="colorScale" priority="10">
      <colorScale>
        <cfvo type="min"/>
        <cfvo type="max"/>
        <color rgb="FFFCFCFF"/>
        <color theme="9" tint="0.59999389629810485"/>
      </colorScale>
    </cfRule>
  </conditionalFormatting>
  <conditionalFormatting sqref="G15:Y15">
    <cfRule type="colorScale" priority="11">
      <colorScale>
        <cfvo type="min"/>
        <cfvo type="max"/>
        <color rgb="FFFCFCFF"/>
        <color theme="9" tint="0.59999389629810485"/>
      </colorScale>
    </cfRule>
  </conditionalFormatting>
  <conditionalFormatting sqref="G16:Y16">
    <cfRule type="colorScale" priority="9">
      <colorScale>
        <cfvo type="min"/>
        <cfvo type="max"/>
        <color rgb="FFFCFCFF"/>
        <color rgb="FF63BE7B"/>
      </colorScale>
    </cfRule>
  </conditionalFormatting>
  <conditionalFormatting sqref="G17:Y17">
    <cfRule type="colorScale" priority="12">
      <colorScale>
        <cfvo type="min"/>
        <cfvo type="max"/>
        <color rgb="FFFCFCFF"/>
        <color theme="9" tint="0.59999389629810485"/>
      </colorScale>
    </cfRule>
  </conditionalFormatting>
  <conditionalFormatting sqref="G18:Y18">
    <cfRule type="colorScale" priority="13">
      <colorScale>
        <cfvo type="min"/>
        <cfvo type="max"/>
        <color rgb="FFFCFCFF"/>
        <color theme="9" tint="0.59999389629810485"/>
      </colorScale>
    </cfRule>
  </conditionalFormatting>
  <conditionalFormatting sqref="G19:Y19">
    <cfRule type="colorScale" priority="8">
      <colorScale>
        <cfvo type="min"/>
        <cfvo type="max"/>
        <color rgb="FFFCFCFF"/>
        <color rgb="FF63BE7B"/>
      </colorScale>
    </cfRule>
  </conditionalFormatting>
  <conditionalFormatting sqref="G20:Y20">
    <cfRule type="colorScale" priority="14">
      <colorScale>
        <cfvo type="min"/>
        <cfvo type="max"/>
        <color rgb="FFFCFCFF"/>
        <color theme="9" tint="0.59999389629810485"/>
      </colorScale>
    </cfRule>
  </conditionalFormatting>
  <conditionalFormatting sqref="G21:Y21">
    <cfRule type="colorScale" priority="15">
      <colorScale>
        <cfvo type="min"/>
        <cfvo type="max"/>
        <color rgb="FFFCFCFF"/>
        <color theme="9" tint="0.59999389629810485"/>
      </colorScale>
    </cfRule>
  </conditionalFormatting>
  <conditionalFormatting sqref="G27:Y27">
    <cfRule type="colorScale" priority="24">
      <colorScale>
        <cfvo type="min"/>
        <cfvo type="max"/>
        <color rgb="FFFCFCFF"/>
        <color theme="4" tint="0.39997558519241921"/>
      </colorScale>
    </cfRule>
  </conditionalFormatting>
  <conditionalFormatting sqref="G28:Y28">
    <cfRule type="colorScale" priority="21">
      <colorScale>
        <cfvo type="min"/>
        <cfvo type="max"/>
        <color rgb="FFFCFCFF"/>
        <color theme="5"/>
      </colorScale>
    </cfRule>
  </conditionalFormatting>
  <conditionalFormatting sqref="G29:Y29">
    <cfRule type="colorScale" priority="23">
      <colorScale>
        <cfvo type="min"/>
        <cfvo type="max"/>
        <color rgb="FFFCFCFF"/>
        <color rgb="FFF8696B"/>
      </colorScale>
    </cfRule>
  </conditionalFormatting>
  <conditionalFormatting sqref="G30:Y30">
    <cfRule type="colorScale" priority="22">
      <colorScale>
        <cfvo type="min"/>
        <cfvo type="max"/>
        <color rgb="FFFCFCFF"/>
        <color rgb="FF9F5FCF"/>
      </colorScale>
    </cfRule>
  </conditionalFormatting>
  <conditionalFormatting sqref="G31:Y31">
    <cfRule type="colorScale" priority="20">
      <colorScale>
        <cfvo type="min"/>
        <cfvo type="max"/>
        <color rgb="FFFCFCFF"/>
        <color theme="9" tint="0.59999389629810485"/>
      </colorScale>
    </cfRule>
  </conditionalFormatting>
  <conditionalFormatting sqref="G32:Y32">
    <cfRule type="colorScale" priority="19">
      <colorScale>
        <cfvo type="min"/>
        <cfvo type="max"/>
        <color rgb="FFFCFCFF"/>
        <color theme="9" tint="0.59999389629810485"/>
      </colorScale>
    </cfRule>
  </conditionalFormatting>
  <conditionalFormatting sqref="G33:Y33">
    <cfRule type="colorScale" priority="18">
      <colorScale>
        <cfvo type="min"/>
        <cfvo type="max"/>
        <color rgb="FFFCFCFF"/>
        <color theme="9" tint="0.59999389629810485"/>
      </colorScale>
    </cfRule>
  </conditionalFormatting>
  <conditionalFormatting sqref="G34:Y34">
    <cfRule type="colorScale" priority="16">
      <colorScale>
        <cfvo type="min"/>
        <cfvo type="max"/>
        <color rgb="FFFCFCFF"/>
        <color theme="9" tint="0.59999389629810485"/>
      </colorScale>
    </cfRule>
  </conditionalFormatting>
  <conditionalFormatting sqref="G35:Y35">
    <cfRule type="colorScale" priority="17">
      <colorScale>
        <cfvo type="min"/>
        <cfvo type="max"/>
        <color rgb="FFFCFCFF"/>
        <color theme="9" tint="0.59999389629810485"/>
      </colorScale>
    </cfRule>
  </conditionalFormatting>
  <conditionalFormatting sqref="G41:Y41">
    <cfRule type="colorScale" priority="5">
      <colorScale>
        <cfvo type="min"/>
        <cfvo type="max"/>
        <color rgb="FFFCFCFF"/>
        <color theme="9" tint="0.59999389629810485"/>
      </colorScale>
    </cfRule>
  </conditionalFormatting>
  <conditionalFormatting sqref="H22:Y22">
    <cfRule type="colorScale" priority="29">
      <colorScale>
        <cfvo type="min"/>
        <cfvo type="num" val="0"/>
        <cfvo type="max"/>
        <color rgb="FFF8696B"/>
        <color rgb="FFFCFCFF"/>
        <color rgb="FF63BE7B"/>
      </colorScale>
    </cfRule>
  </conditionalFormatting>
  <conditionalFormatting sqref="H23:Y23">
    <cfRule type="colorScale" priority="28">
      <colorScale>
        <cfvo type="min"/>
        <cfvo type="num" val="0"/>
        <cfvo type="max"/>
        <color rgb="FFF8696B"/>
        <color rgb="FFFCFCFF"/>
        <color rgb="FF63BE7B"/>
      </colorScale>
    </cfRule>
  </conditionalFormatting>
  <conditionalFormatting sqref="H24:Y24">
    <cfRule type="colorScale" priority="27">
      <colorScale>
        <cfvo type="min"/>
        <cfvo type="num" val="0"/>
        <cfvo type="max"/>
        <color rgb="FFF8696B"/>
        <color rgb="FFFCFCFF"/>
        <color rgb="FF63BE7B"/>
      </colorScale>
    </cfRule>
  </conditionalFormatting>
  <conditionalFormatting sqref="H25:Y25">
    <cfRule type="colorScale" priority="26">
      <colorScale>
        <cfvo type="min"/>
        <cfvo type="num" val="0"/>
        <cfvo type="max"/>
        <color rgb="FFF8696B"/>
        <color rgb="FFFCFCFF"/>
        <color rgb="FF63BE7B"/>
      </colorScale>
    </cfRule>
  </conditionalFormatting>
  <conditionalFormatting sqref="H26:Y26">
    <cfRule type="colorScale" priority="25">
      <colorScale>
        <cfvo type="min"/>
        <cfvo type="num" val="0"/>
        <cfvo type="max"/>
        <color rgb="FFF8696B"/>
        <color rgb="FFFCFCFF"/>
        <color rgb="FF63BE7B"/>
      </colorScale>
    </cfRule>
  </conditionalFormatting>
  <conditionalFormatting sqref="H44:Y44">
    <cfRule type="colorScale" priority="6">
      <colorScale>
        <cfvo type="min"/>
        <cfvo type="num" val="0"/>
        <cfvo type="max"/>
        <color rgb="FFF8696B"/>
        <color rgb="FFFCFCFF"/>
        <color rgb="FF63BE7B"/>
      </colorScale>
    </cfRule>
  </conditionalFormatting>
  <conditionalFormatting sqref="H46:Y46">
    <cfRule type="colorScale" priority="1">
      <colorScale>
        <cfvo type="min"/>
        <cfvo type="num" val="0"/>
        <cfvo type="max"/>
        <color rgb="FF63BE7B"/>
        <color rgb="FFFCFCFF"/>
        <color rgb="FFF8696B"/>
      </colorScale>
    </cfRule>
  </conditionalFormatting>
  <conditionalFormatting sqref="AD33">
    <cfRule type="iconSet" priority="4">
      <iconSet>
        <cfvo type="percent" val="0"/>
        <cfvo type="num" val="1.8"/>
        <cfvo type="num" val="3"/>
      </iconSet>
    </cfRule>
  </conditionalFormatting>
  <conditionalFormatting sqref="AE33">
    <cfRule type="iconSet" priority="3">
      <iconSet>
        <cfvo type="percent" val="0"/>
        <cfvo type="num" val="1.8"/>
        <cfvo type="num" val="3"/>
      </iconSet>
    </cfRule>
  </conditionalFormatting>
  <pageMargins left="0.7" right="0.7" top="0.75" bottom="0.75" header="0.3" footer="0.3"/>
  <ignoredErrors>
    <ignoredError sqref="H16:Y16" formula="1"/>
  </ignoredErrors>
  <drawing r:id="rId1"/>
  <legacyDrawing r:id="rId2"/>
  <extLst>
    <ext xmlns:x14="http://schemas.microsoft.com/office/spreadsheetml/2009/9/main" uri="{78C0D931-6437-407d-A8EE-F0AAD7539E65}">
      <x14:conditionalFormattings>
        <x14:conditionalFormatting xmlns:xm="http://schemas.microsoft.com/office/excel/2006/main">
          <x14:cfRule type="iconSet" priority="2" id="{A0DF6446-2D8A-478A-BD9B-952A77064825}">
            <x14:iconSet custom="1">
              <x14:cfvo type="percent">
                <xm:f>0</xm:f>
              </x14:cfvo>
              <x14:cfvo type="num">
                <xm:f>3</xm:f>
              </x14:cfvo>
              <x14:cfvo type="num">
                <xm:f>3</xm:f>
              </x14:cfvo>
              <x14:cfIcon iconSet="3TrafficLights1" iconId="2"/>
              <x14:cfIcon iconSet="3TrafficLights1" iconId="1"/>
              <x14:cfIcon iconSet="3TrafficLights1" iconId="0"/>
            </x14:iconSet>
          </x14:cfRule>
          <xm:sqref>AD45:AE46</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63728C1A-0635-4F24-A4A9-AF49D1F8E597}">
          <x14:colorSeries rgb="FF376092"/>
          <x14:colorNegative rgb="FFD00000"/>
          <x14:colorAxis rgb="FF000000"/>
          <x14:colorMarkers rgb="FFD00000"/>
          <x14:colorFirst rgb="FFD00000"/>
          <x14:colorLast rgb="FFD00000"/>
          <x14:colorHigh rgb="FFD00000"/>
          <x14:colorLow rgb="FFD00000"/>
          <x14:sparklines>
            <x14:sparkline>
              <xm:f>INFO!G14:Y14</xm:f>
              <xm:sqref>F14</xm:sqref>
            </x14:sparkline>
            <x14:sparkline>
              <xm:f>INFO!G15:Y15</xm:f>
              <xm:sqref>F15</xm:sqref>
            </x14:sparkline>
            <x14:sparkline>
              <xm:f>INFO!G17:Y17</xm:f>
              <xm:sqref>F17</xm:sqref>
            </x14:sparkline>
            <x14:sparkline>
              <xm:f>INFO!G18:Y18</xm:f>
              <xm:sqref>F18</xm:sqref>
            </x14:sparkline>
            <x14:sparkline>
              <xm:f>INFO!G20:Y20</xm:f>
              <xm:sqref>F20</xm:sqref>
            </x14:sparkline>
            <x14:sparkline>
              <xm:f>INFO!G21:Y21</xm:f>
              <xm:sqref>F21</xm:sqref>
            </x14:sparkline>
          </x14:sparklines>
        </x14:sparklineGroup>
        <x14:sparklineGroup type="column" displayEmptyCellsAs="gap" xr2:uid="{48662B00-BEC5-8942-8ADD-256085700F5F}">
          <x14:colorSeries rgb="FF376092"/>
          <x14:colorNegative rgb="FFD00000"/>
          <x14:colorAxis rgb="FF000000"/>
          <x14:colorMarkers rgb="FFD00000"/>
          <x14:colorFirst rgb="FFD00000"/>
          <x14:colorLast rgb="FFD00000"/>
          <x14:colorHigh rgb="FFD00000"/>
          <x14:colorLow rgb="FFD00000"/>
          <x14:sparklines>
            <x14:sparkline>
              <xm:f>INFO!G27:Y27</xm:f>
              <xm:sqref>F27</xm:sqref>
            </x14:sparkline>
            <x14:sparkline>
              <xm:f>INFO!G28:Y28</xm:f>
              <xm:sqref>F28</xm:sqref>
            </x14:sparkline>
            <x14:sparkline>
              <xm:f>INFO!G29:Y29</xm:f>
              <xm:sqref>F29</xm:sqref>
            </x14:sparkline>
            <x14:sparkline>
              <xm:f>INFO!G30:Y30</xm:f>
              <xm:sqref>F30</xm:sqref>
            </x14:sparkline>
          </x14:sparklines>
        </x14:sparklineGroup>
        <x14:sparklineGroup type="column" displayEmptyCellsAs="gap" xr2:uid="{2EF45757-7519-724F-8DEC-CF01857B861F}">
          <x14:colorSeries rgb="FF376092"/>
          <x14:colorNegative rgb="FFD00000"/>
          <x14:colorAxis rgb="FF000000"/>
          <x14:colorMarkers rgb="FFD00000"/>
          <x14:colorFirst rgb="FFD00000"/>
          <x14:colorLast rgb="FFD00000"/>
          <x14:colorHigh rgb="FFD00000"/>
          <x14:colorLow rgb="FFD00000"/>
          <x14:sparklines>
            <x14:sparkline>
              <xm:f>INFO!G31:Y31</xm:f>
              <xm:sqref>F31</xm:sqref>
            </x14:sparkline>
            <x14:sparkline>
              <xm:f>INFO!G32:Y32</xm:f>
              <xm:sqref>F32</xm:sqref>
            </x14:sparkline>
            <x14:sparkline>
              <xm:f>INFO!G33:Y33</xm:f>
              <xm:sqref>F33</xm:sqref>
            </x14:sparkline>
            <x14:sparkline>
              <xm:f>INFO!G34:Y34</xm:f>
              <xm:sqref>F34</xm:sqref>
            </x14:sparkline>
            <x14:sparkline>
              <xm:f>INFO!G35:Y35</xm:f>
              <xm:sqref>F35</xm:sqref>
            </x14:sparkline>
          </x14:sparklines>
        </x14:sparklineGroup>
        <x14:sparklineGroup type="column" displayEmptyCellsAs="gap" xr2:uid="{CBD1F03C-069B-974A-AC48-C5FD9862D9A0}">
          <x14:colorSeries rgb="FF376092"/>
          <x14:colorNegative rgb="FFD00000"/>
          <x14:colorAxis rgb="FF000000"/>
          <x14:colorMarkers rgb="FFD00000"/>
          <x14:colorFirst rgb="FFD00000"/>
          <x14:colorLast rgb="FFD00000"/>
          <x14:colorHigh rgb="FFD00000"/>
          <x14:colorLow rgb="FFD00000"/>
          <x14:sparklines>
            <x14:sparkline>
              <xm:f>INFO!G36:Y36</xm:f>
              <xm:sqref>F36</xm:sqref>
            </x14:sparkline>
          </x14:sparklines>
        </x14:sparklineGroup>
        <x14:sparklineGroup type="column" displayEmptyCellsAs="gap" xr2:uid="{304156D9-19D8-F646-BD1C-51B153F57ECC}">
          <x14:colorSeries rgb="FF376092"/>
          <x14:colorNegative rgb="FFD00000"/>
          <x14:colorAxis rgb="FF000000"/>
          <x14:colorMarkers rgb="FFD00000"/>
          <x14:colorFirst rgb="FFD00000"/>
          <x14:colorLast rgb="FFD00000"/>
          <x14:colorHigh rgb="FFD00000"/>
          <x14:colorLow rgb="FFD00000"/>
          <x14:sparklines>
            <x14:sparkline>
              <xm:f>INFO!G37:Y37</xm:f>
              <xm:sqref>F37</xm:sqref>
            </x14:sparkline>
            <x14:sparkline>
              <xm:f>INFO!G38:Y38</xm:f>
              <xm:sqref>F38</xm:sqref>
            </x14:sparkline>
            <x14:sparkline>
              <xm:f>INFO!G39:Y39</xm:f>
              <xm:sqref>F39</xm:sqref>
            </x14:sparkline>
            <x14:sparkline>
              <xm:f>INFO!G40:Y40</xm:f>
              <xm:sqref>F40</xm:sqref>
            </x14:sparkline>
            <x14:sparkline>
              <xm:f>INFO!G41:Y41</xm:f>
              <xm:sqref>F41</xm:sqref>
            </x14:sparkline>
          </x14:sparklines>
        </x14:sparklineGroup>
        <x14:sparklineGroup type="column" displayEmptyCellsAs="gap" xr2:uid="{232D6680-45DA-8F4E-9625-37933783B676}">
          <x14:colorSeries rgb="FF376092"/>
          <x14:colorNegative rgb="FFD00000"/>
          <x14:colorAxis rgb="FF000000"/>
          <x14:colorMarkers rgb="FFD00000"/>
          <x14:colorFirst rgb="FFD00000"/>
          <x14:colorLast rgb="FFD00000"/>
          <x14:colorHigh rgb="FFD00000"/>
          <x14:colorLow rgb="FFD00000"/>
          <x14:sparklines>
            <x14:sparkline>
              <xm:f>INFO!G22:Y22</xm:f>
              <xm:sqref>F22</xm:sqref>
            </x14:sparkline>
            <x14:sparkline>
              <xm:f>INFO!G23:Y23</xm:f>
              <xm:sqref>F23</xm:sqref>
            </x14:sparkline>
            <x14:sparkline>
              <xm:f>INFO!G24:Y24</xm:f>
              <xm:sqref>F24</xm:sqref>
            </x14:sparkline>
            <x14:sparkline>
              <xm:f>INFO!G25:Y25</xm:f>
              <xm:sqref>F25</xm:sqref>
            </x14:sparkline>
            <x14:sparkline>
              <xm:f>INFO!G26:Y26</xm:f>
              <xm:sqref>F26</xm:sqref>
            </x14:sparkline>
          </x14:sparklines>
        </x14:sparklineGroup>
        <x14:sparklineGroup type="column" displayEmptyCellsAs="gap" xr2:uid="{E75F88DB-6F76-5342-9A21-802E8A7E2886}">
          <x14:colorSeries rgb="FF376092"/>
          <x14:colorNegative rgb="FFD00000"/>
          <x14:colorAxis rgb="FF000000"/>
          <x14:colorMarkers rgb="FFD00000"/>
          <x14:colorFirst rgb="FFD00000"/>
          <x14:colorLast rgb="FFD00000"/>
          <x14:colorHigh rgb="FFD00000"/>
          <x14:colorLow rgb="FFD00000"/>
          <x14:sparklines>
            <x14:sparkline>
              <xm:f>INFO!G42:Y42</xm:f>
              <xm:sqref>F42</xm:sqref>
            </x14:sparkline>
            <x14:sparkline>
              <xm:f>INFO!G43:Y43</xm:f>
              <xm:sqref>F43</xm:sqref>
            </x14:sparkline>
            <x14:sparkline>
              <xm:f>INFO!G44:Y44</xm:f>
              <xm:sqref>F44</xm:sqref>
            </x14:sparkline>
            <x14:sparkline>
              <xm:f>INFO!G45:Y45</xm:f>
              <xm:sqref>F45</xm:sqref>
            </x14:sparkline>
            <x14:sparkline>
              <xm:f>INFO!G46:Y46</xm:f>
              <xm:sqref>F46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368F-505A-4334-96D9-98B2DB8BD592}">
  <dimension ref="B1:AI2"/>
  <sheetViews>
    <sheetView showGridLines="0" zoomScale="85" zoomScaleNormal="85" workbookViewId="0">
      <selection activeCell="AE31" sqref="AE31"/>
    </sheetView>
  </sheetViews>
  <sheetFormatPr defaultColWidth="8.77734375" defaultRowHeight="14.4" x14ac:dyDescent="0.3"/>
  <cols>
    <col min="1" max="1" width="3.44140625" customWidth="1"/>
    <col min="2" max="35" width="8.77734375" customWidth="1"/>
  </cols>
  <sheetData>
    <row r="1" spans="2:35" ht="10.5" customHeight="1" x14ac:dyDescent="0.3"/>
    <row r="2" spans="2:35" x14ac:dyDescent="0.3">
      <c r="B2" s="204" t="s">
        <v>149</v>
      </c>
      <c r="C2" s="204"/>
      <c r="D2" s="204"/>
      <c r="E2" s="204"/>
      <c r="F2" s="204"/>
      <c r="G2" s="204"/>
      <c r="H2" s="204"/>
      <c r="I2" s="204"/>
      <c r="J2" s="204"/>
      <c r="K2" s="204"/>
      <c r="L2" s="204"/>
      <c r="M2" s="204"/>
      <c r="N2" s="204"/>
      <c r="O2" s="204"/>
      <c r="P2" s="204"/>
      <c r="Q2" s="204"/>
      <c r="R2" s="204"/>
      <c r="S2" s="204"/>
      <c r="T2" s="204"/>
      <c r="U2" s="204"/>
      <c r="V2" s="204"/>
      <c r="W2" s="204"/>
      <c r="X2" s="204"/>
      <c r="Y2" s="204"/>
      <c r="Z2" s="204"/>
      <c r="AA2" s="204"/>
      <c r="AB2" s="204"/>
      <c r="AC2" s="204"/>
      <c r="AD2" s="149"/>
      <c r="AE2" s="149"/>
      <c r="AF2" s="149"/>
      <c r="AG2" s="149"/>
      <c r="AH2" s="149"/>
      <c r="AI2" s="149"/>
    </row>
  </sheetData>
  <mergeCells count="1">
    <mergeCell ref="B2:AC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EA14-A4FF-4106-8BD9-ECCCD0B3AEA2}">
  <dimension ref="B2:AY118"/>
  <sheetViews>
    <sheetView showGridLines="0" topLeftCell="A44" zoomScale="85" zoomScaleNormal="85" workbookViewId="0">
      <selection activeCell="O16" sqref="O16"/>
    </sheetView>
  </sheetViews>
  <sheetFormatPr defaultColWidth="8.77734375" defaultRowHeight="14.4" x14ac:dyDescent="0.3"/>
  <cols>
    <col min="1" max="1" width="4.109375" customWidth="1"/>
    <col min="7" max="7" width="8.77734375" customWidth="1"/>
    <col min="15" max="15" width="4.109375" customWidth="1"/>
    <col min="21" max="21" width="18.88671875" bestFit="1" customWidth="1"/>
    <col min="22" max="23" width="20.21875" bestFit="1" customWidth="1"/>
    <col min="24" max="24" width="20" bestFit="1" customWidth="1"/>
    <col min="25" max="28" width="20.21875" bestFit="1" customWidth="1"/>
    <col min="35" max="35" width="9.44140625" bestFit="1" customWidth="1"/>
    <col min="36" max="42" width="9.33203125" bestFit="1" customWidth="1"/>
    <col min="49" max="49" width="8.21875" bestFit="1" customWidth="1"/>
  </cols>
  <sheetData>
    <row r="2" spans="2:51" x14ac:dyDescent="0.3">
      <c r="B2" s="89" t="s">
        <v>0</v>
      </c>
      <c r="C2" s="60" t="s">
        <v>323</v>
      </c>
    </row>
    <row r="4" spans="2:51" x14ac:dyDescent="0.3">
      <c r="B4" s="3" t="s">
        <v>18</v>
      </c>
      <c r="C4" s="4"/>
      <c r="D4" s="4"/>
      <c r="E4" s="4"/>
      <c r="F4" s="4"/>
      <c r="G4" s="4">
        <f t="shared" ref="G4:L4" si="0">H4-1</f>
        <v>2016</v>
      </c>
      <c r="H4" s="4">
        <f t="shared" si="0"/>
        <v>2017</v>
      </c>
      <c r="I4" s="4">
        <f t="shared" si="0"/>
        <v>2018</v>
      </c>
      <c r="J4" s="4">
        <f t="shared" si="0"/>
        <v>2019</v>
      </c>
      <c r="K4" s="4">
        <f t="shared" si="0"/>
        <v>2020</v>
      </c>
      <c r="L4" s="4">
        <f t="shared" si="0"/>
        <v>2021</v>
      </c>
      <c r="M4" s="4">
        <f>N4-1</f>
        <v>2022</v>
      </c>
      <c r="N4" s="15">
        <v>2023</v>
      </c>
      <c r="P4" s="3" t="s">
        <v>246</v>
      </c>
      <c r="Q4" s="4"/>
      <c r="R4" s="4"/>
      <c r="S4" s="4"/>
      <c r="T4" s="4"/>
      <c r="U4" s="4">
        <f t="shared" ref="U4:AA4" si="1">G4</f>
        <v>2016</v>
      </c>
      <c r="V4" s="4">
        <f t="shared" si="1"/>
        <v>2017</v>
      </c>
      <c r="W4" s="4">
        <f t="shared" si="1"/>
        <v>2018</v>
      </c>
      <c r="X4" s="4">
        <f t="shared" si="1"/>
        <v>2019</v>
      </c>
      <c r="Y4" s="4">
        <f t="shared" si="1"/>
        <v>2020</v>
      </c>
      <c r="Z4" s="4">
        <f t="shared" si="1"/>
        <v>2021</v>
      </c>
      <c r="AA4" s="4">
        <f t="shared" si="1"/>
        <v>2022</v>
      </c>
      <c r="AB4" s="4">
        <f>N4</f>
        <v>2023</v>
      </c>
      <c r="AD4" s="3" t="s">
        <v>280</v>
      </c>
      <c r="AE4" s="4"/>
      <c r="AF4" s="4"/>
      <c r="AG4" s="4"/>
      <c r="AH4" s="4"/>
      <c r="AI4" s="4">
        <f t="shared" ref="AI4:AO4" si="2">U4</f>
        <v>2016</v>
      </c>
      <c r="AJ4" s="4">
        <f t="shared" si="2"/>
        <v>2017</v>
      </c>
      <c r="AK4" s="4">
        <f t="shared" si="2"/>
        <v>2018</v>
      </c>
      <c r="AL4" s="4">
        <f t="shared" si="2"/>
        <v>2019</v>
      </c>
      <c r="AM4" s="4">
        <f t="shared" si="2"/>
        <v>2020</v>
      </c>
      <c r="AN4" s="4">
        <f t="shared" si="2"/>
        <v>2021</v>
      </c>
      <c r="AO4" s="4">
        <f t="shared" si="2"/>
        <v>2022</v>
      </c>
      <c r="AP4" s="4">
        <f>AB4</f>
        <v>2023</v>
      </c>
      <c r="AR4" s="3" t="s">
        <v>301</v>
      </c>
      <c r="AS4" s="4"/>
      <c r="AT4" s="4"/>
      <c r="AU4" s="4"/>
      <c r="AV4" s="4"/>
      <c r="AW4" s="4">
        <f>AX4-1</f>
        <v>2023</v>
      </c>
      <c r="AX4" s="15">
        <v>2024</v>
      </c>
    </row>
    <row r="5" spans="2:51" x14ac:dyDescent="0.3">
      <c r="B5" s="5" t="s">
        <v>150</v>
      </c>
      <c r="G5" s="155"/>
      <c r="H5" s="155"/>
      <c r="I5" s="155"/>
      <c r="J5" s="155"/>
      <c r="K5" s="155"/>
      <c r="L5" s="155"/>
      <c r="M5" s="155"/>
      <c r="N5" s="156"/>
      <c r="P5" s="5" t="s">
        <v>108</v>
      </c>
      <c r="U5" s="167" cm="1">
        <f t="array" ref="U5:AB60">_xldudf_WISE(C2,P5:P60,U4:AB4)</f>
        <v>9.8540529573000004</v>
      </c>
      <c r="V5" s="167">
        <v>10.9844435048</v>
      </c>
      <c r="W5" s="167">
        <v>13.399333693499999</v>
      </c>
      <c r="X5" s="167">
        <v>14.0852832735</v>
      </c>
      <c r="Y5" s="167">
        <v>15.820258033</v>
      </c>
      <c r="Z5" s="167">
        <v>21.903541239300001</v>
      </c>
      <c r="AA5" s="167">
        <v>24.317273047600001</v>
      </c>
      <c r="AB5" s="200">
        <v>24.3444725881</v>
      </c>
      <c r="AD5" s="5" t="s">
        <v>247</v>
      </c>
      <c r="AI5" s="168" cm="1">
        <f t="array" ref="AI5:AP38">_xldudf_WISE(C2,AD5:AD38,AI4:AP4)</f>
        <v>-7.7299999999999994E-2</v>
      </c>
      <c r="AJ5" s="168">
        <v>6.3E-2</v>
      </c>
      <c r="AK5" s="168">
        <v>0.15859999999999999</v>
      </c>
      <c r="AL5" s="168">
        <v>-2.0400000000000001E-2</v>
      </c>
      <c r="AM5" s="168">
        <v>5.5100000000000003E-2</v>
      </c>
      <c r="AN5" s="168">
        <v>0.33260000000000001</v>
      </c>
      <c r="AO5" s="168">
        <v>7.7899999999999997E-2</v>
      </c>
      <c r="AP5" s="169">
        <v>-2.8000000000000001E-2</v>
      </c>
      <c r="AR5" s="5" t="s">
        <v>281</v>
      </c>
      <c r="AW5" s="11" cm="1">
        <f t="array" ref="AW5:AX19">_xldudf_WISE($C$2,$AR5:$AR19,AW$4:AX$4)/1000000</f>
        <v>366438.56628999999</v>
      </c>
      <c r="AX5" s="12">
        <v>389950.94502300001</v>
      </c>
      <c r="AY5" s="2"/>
    </row>
    <row r="6" spans="2:51" x14ac:dyDescent="0.3">
      <c r="B6" s="5" t="s">
        <v>19</v>
      </c>
      <c r="G6" s="155" cm="1">
        <f t="array" ref="G6:N8">_xldudf_WISE($C$2,$B6:$B8,G$4:N$4)/1000000</f>
        <v>215639</v>
      </c>
      <c r="H6" s="155">
        <v>229234</v>
      </c>
      <c r="I6" s="155">
        <v>265595</v>
      </c>
      <c r="J6" s="155">
        <v>260174</v>
      </c>
      <c r="K6" s="155">
        <v>274515</v>
      </c>
      <c r="L6" s="155">
        <v>365817</v>
      </c>
      <c r="M6" s="155">
        <v>394328</v>
      </c>
      <c r="N6" s="156">
        <v>383285</v>
      </c>
      <c r="P6" s="5" t="s">
        <v>110</v>
      </c>
      <c r="U6" s="167">
        <v>2.0877583250999998</v>
      </c>
      <c r="V6" s="167">
        <v>2.3168850514999999</v>
      </c>
      <c r="W6" s="167">
        <v>3.0033537306999998</v>
      </c>
      <c r="X6" s="167">
        <v>2.9914457731000001</v>
      </c>
      <c r="Y6" s="167">
        <v>3.3085872682000002</v>
      </c>
      <c r="Z6" s="167">
        <v>5.6690292811000003</v>
      </c>
      <c r="AA6" s="167">
        <v>6.1546144376000003</v>
      </c>
      <c r="AB6" s="200">
        <v>6.1606692636</v>
      </c>
      <c r="AD6" s="5" t="s">
        <v>248</v>
      </c>
      <c r="AI6" s="168">
        <v>-0.1</v>
      </c>
      <c r="AJ6" s="168">
        <v>4.6600000000000003E-2</v>
      </c>
      <c r="AK6" s="168">
        <v>0.15479999999999999</v>
      </c>
      <c r="AL6" s="168">
        <v>-3.3799999999999997E-2</v>
      </c>
      <c r="AM6" s="168">
        <v>6.6699999999999995E-2</v>
      </c>
      <c r="AN6" s="168">
        <v>0.45619999999999999</v>
      </c>
      <c r="AO6" s="168">
        <v>0.1174</v>
      </c>
      <c r="AP6" s="169">
        <v>-9.5999999999999992E-3</v>
      </c>
      <c r="AR6" s="5" t="s">
        <v>282</v>
      </c>
      <c r="AW6" s="11">
        <v>401241.68738600001</v>
      </c>
      <c r="AX6" s="12">
        <v>392209.90776799998</v>
      </c>
      <c r="AY6" s="2"/>
    </row>
    <row r="7" spans="2:51" x14ac:dyDescent="0.3">
      <c r="B7" s="5" t="s">
        <v>151</v>
      </c>
      <c r="G7" s="155">
        <v>131376</v>
      </c>
      <c r="H7" s="155">
        <v>141048</v>
      </c>
      <c r="I7" s="155">
        <v>163756</v>
      </c>
      <c r="J7" s="155">
        <v>161782</v>
      </c>
      <c r="K7" s="155">
        <v>169559</v>
      </c>
      <c r="L7" s="155">
        <v>212981</v>
      </c>
      <c r="M7" s="155">
        <v>223546</v>
      </c>
      <c r="N7" s="156">
        <v>214137</v>
      </c>
      <c r="P7" s="5" t="s">
        <v>225</v>
      </c>
      <c r="U7" s="167">
        <v>3.0265572619999999</v>
      </c>
      <c r="V7" s="167">
        <v>3.0775359855</v>
      </c>
      <c r="W7" s="167">
        <v>3.9065645257999999</v>
      </c>
      <c r="X7" s="167">
        <v>3.7566854937</v>
      </c>
      <c r="Y7" s="167">
        <v>4.6492304485</v>
      </c>
      <c r="Z7" s="167">
        <v>6.2293458845999998</v>
      </c>
      <c r="AA7" s="167">
        <v>7.5327626241000001</v>
      </c>
      <c r="AB7" s="200">
        <v>7.0211749307</v>
      </c>
      <c r="AD7" s="5" t="s">
        <v>249</v>
      </c>
      <c r="AI7" s="168">
        <v>-0.14230000000000001</v>
      </c>
      <c r="AJ7" s="168">
        <v>5.7000000000000002E-2</v>
      </c>
      <c r="AK7" s="168">
        <v>0.14649999999999999</v>
      </c>
      <c r="AL7" s="168">
        <v>-8.9700000000000002E-2</v>
      </c>
      <c r="AM7" s="168">
        <v>9.4000000000000004E-3</v>
      </c>
      <c r="AN7" s="168">
        <v>0.59870000000000001</v>
      </c>
      <c r="AO7" s="168">
        <v>9.0999999999999998E-2</v>
      </c>
      <c r="AP7" s="169">
        <v>-3.5799999999999998E-2</v>
      </c>
      <c r="AR7" s="5" t="s">
        <v>283</v>
      </c>
      <c r="AW7" s="11">
        <v>381623</v>
      </c>
      <c r="AX7" s="12">
        <v>390480.70177300001</v>
      </c>
      <c r="AY7" s="2"/>
    </row>
    <row r="8" spans="2:51" x14ac:dyDescent="0.3">
      <c r="B8" s="73" t="s">
        <v>76</v>
      </c>
      <c r="C8" s="72"/>
      <c r="D8" s="72"/>
      <c r="E8" s="72"/>
      <c r="F8" s="72"/>
      <c r="G8" s="157">
        <v>84263</v>
      </c>
      <c r="H8" s="157">
        <v>88186</v>
      </c>
      <c r="I8" s="157">
        <v>101839</v>
      </c>
      <c r="J8" s="157">
        <v>98392</v>
      </c>
      <c r="K8" s="157">
        <v>104956</v>
      </c>
      <c r="L8" s="157">
        <v>152836</v>
      </c>
      <c r="M8" s="157">
        <v>170782</v>
      </c>
      <c r="N8" s="158">
        <v>169148</v>
      </c>
      <c r="P8" s="5" t="s">
        <v>112</v>
      </c>
      <c r="U8" s="167">
        <v>2.4074544584000002</v>
      </c>
      <c r="V8" s="167">
        <v>2.4644246903</v>
      </c>
      <c r="W8" s="167">
        <v>3.2349203702999998</v>
      </c>
      <c r="X8" s="167">
        <v>3.1885078589</v>
      </c>
      <c r="Y8" s="167">
        <v>4.2280138811999999</v>
      </c>
      <c r="Z8" s="167">
        <v>5.5656239836000001</v>
      </c>
      <c r="AA8" s="167">
        <v>6.8724256463</v>
      </c>
      <c r="AB8" s="200">
        <v>6.3251104484000003</v>
      </c>
      <c r="AD8" s="5" t="s">
        <v>250</v>
      </c>
      <c r="AI8" s="168">
        <v>-0.1573</v>
      </c>
      <c r="AJ8" s="168">
        <v>2.1999999999999999E-2</v>
      </c>
      <c r="AK8" s="168">
        <v>0.15570000000000001</v>
      </c>
      <c r="AL8" s="168">
        <v>-9.8299999999999998E-2</v>
      </c>
      <c r="AM8" s="168">
        <v>3.6900000000000002E-2</v>
      </c>
      <c r="AN8" s="168">
        <v>0.64359999999999995</v>
      </c>
      <c r="AO8" s="168">
        <v>9.6299999999999997E-2</v>
      </c>
      <c r="AP8" s="169">
        <v>-4.2999999999999997E-2</v>
      </c>
      <c r="AR8" s="5" t="s">
        <v>284</v>
      </c>
      <c r="AW8" s="11">
        <v>132260.48764599999</v>
      </c>
      <c r="AX8" s="12">
        <v>140746.927019</v>
      </c>
      <c r="AY8" s="2"/>
    </row>
    <row r="9" spans="2:51" x14ac:dyDescent="0.3">
      <c r="B9" s="5" t="s">
        <v>152</v>
      </c>
      <c r="G9" s="151" cm="1">
        <f t="array" ref="G9:N9">_xldudf_WISE($C$2,$B9,G$4:N$4)</f>
        <v>0.39075955699999998</v>
      </c>
      <c r="H9" s="151">
        <v>0.38469860500000003</v>
      </c>
      <c r="I9" s="151">
        <v>0.38343718799999998</v>
      </c>
      <c r="J9" s="151">
        <v>0.37817768099999999</v>
      </c>
      <c r="K9" s="151">
        <v>0.382332477</v>
      </c>
      <c r="L9" s="151">
        <v>0.41779359599999999</v>
      </c>
      <c r="M9" s="151">
        <v>0.43309630599999999</v>
      </c>
      <c r="N9" s="152">
        <v>0.44131129600000002</v>
      </c>
      <c r="P9" s="5" t="s">
        <v>114</v>
      </c>
      <c r="U9" s="167">
        <v>3.0687812796</v>
      </c>
      <c r="V9" s="167">
        <v>3.5546079709999998</v>
      </c>
      <c r="W9" s="167">
        <v>3.3449019116000001</v>
      </c>
      <c r="X9" s="167">
        <v>5.4439483965999997</v>
      </c>
      <c r="Y9" s="167">
        <v>5.2410313690999999</v>
      </c>
      <c r="Z9" s="167">
        <v>3.7505526525000001</v>
      </c>
      <c r="AA9" s="167">
        <v>2.9787931804999999</v>
      </c>
      <c r="AB9" s="200">
        <v>3.9096860304000001</v>
      </c>
      <c r="AD9" s="5" t="s">
        <v>251</v>
      </c>
      <c r="AI9" s="168">
        <v>-0.14430000000000001</v>
      </c>
      <c r="AJ9" s="168">
        <v>5.8299999999999998E-2</v>
      </c>
      <c r="AK9" s="168">
        <v>0.23119999999999999</v>
      </c>
      <c r="AL9" s="168">
        <v>-7.1800000000000003E-2</v>
      </c>
      <c r="AM9" s="168">
        <v>3.9E-2</v>
      </c>
      <c r="AN9" s="168">
        <v>0.6492</v>
      </c>
      <c r="AO9" s="168">
        <v>5.4100000000000002E-2</v>
      </c>
      <c r="AP9" s="169">
        <v>-2.81E-2</v>
      </c>
      <c r="AR9" s="5" t="s">
        <v>285</v>
      </c>
      <c r="AW9" s="11">
        <v>144822.15061300001</v>
      </c>
      <c r="AX9" s="12">
        <v>141562.265637</v>
      </c>
      <c r="AY9" s="2"/>
    </row>
    <row r="10" spans="2:51" x14ac:dyDescent="0.3">
      <c r="B10" s="5"/>
      <c r="G10" s="155"/>
      <c r="H10" s="155"/>
      <c r="I10" s="155"/>
      <c r="J10" s="155"/>
      <c r="K10" s="155"/>
      <c r="L10" s="155"/>
      <c r="M10" s="155"/>
      <c r="N10" s="156"/>
      <c r="P10" s="5" t="s">
        <v>226</v>
      </c>
      <c r="U10" s="167">
        <v>5.8605931104</v>
      </c>
      <c r="V10" s="167">
        <v>6.4232692291999998</v>
      </c>
      <c r="W10" s="167">
        <v>5.4055927530999996</v>
      </c>
      <c r="X10" s="167">
        <v>4.8988335224000004</v>
      </c>
      <c r="Y10" s="167">
        <v>3.7654767120999999</v>
      </c>
      <c r="Z10" s="167">
        <v>3.7775565837</v>
      </c>
      <c r="AA10" s="167">
        <v>3.1248221273999999</v>
      </c>
      <c r="AB10" s="200">
        <v>3.9472235894000001</v>
      </c>
      <c r="AD10" s="5" t="s">
        <v>252</v>
      </c>
      <c r="AI10" s="168">
        <v>-9.9099999999999994E-2</v>
      </c>
      <c r="AJ10" s="168">
        <v>0.11</v>
      </c>
      <c r="AK10" s="168">
        <v>0.29310000000000003</v>
      </c>
      <c r="AL10" s="168">
        <v>-3.3E-3</v>
      </c>
      <c r="AM10" s="168">
        <v>0.107</v>
      </c>
      <c r="AN10" s="168">
        <v>0.71299999999999997</v>
      </c>
      <c r="AO10" s="168">
        <v>8.4699999999999998E-2</v>
      </c>
      <c r="AP10" s="169">
        <v>1.6000000000000001E-3</v>
      </c>
      <c r="AR10" s="5" t="s">
        <v>286</v>
      </c>
      <c r="AW10" s="11">
        <v>137741.080552</v>
      </c>
      <c r="AX10" s="12">
        <v>140938.13474800001</v>
      </c>
      <c r="AY10" s="2"/>
    </row>
    <row r="11" spans="2:51" x14ac:dyDescent="0.3">
      <c r="B11" s="5" t="s">
        <v>106</v>
      </c>
      <c r="G11" s="155" cm="1">
        <f t="array" ref="G11:N14">_xldudf_WISE($C$2,$B11:$B14,G$4:N$4)/1000000</f>
        <v>10045</v>
      </c>
      <c r="H11" s="155">
        <v>11581</v>
      </c>
      <c r="I11" s="155">
        <v>14236</v>
      </c>
      <c r="J11" s="155">
        <v>16217</v>
      </c>
      <c r="K11" s="155">
        <v>18752</v>
      </c>
      <c r="L11" s="155">
        <v>21914</v>
      </c>
      <c r="M11" s="155">
        <v>26251</v>
      </c>
      <c r="N11" s="156">
        <v>29915</v>
      </c>
      <c r="P11" s="5" t="s">
        <v>116</v>
      </c>
      <c r="U11" s="167">
        <v>5.4666850673000003</v>
      </c>
      <c r="V11" s="167">
        <v>6.0392061552999996</v>
      </c>
      <c r="W11" s="167">
        <v>5.4055927530999996</v>
      </c>
      <c r="X11" s="167">
        <v>4.8988335224000004</v>
      </c>
      <c r="Y11" s="167">
        <v>3.7654767120999999</v>
      </c>
      <c r="Z11" s="167">
        <v>3.7775565837</v>
      </c>
      <c r="AA11" s="167">
        <v>3.1248221273999999</v>
      </c>
      <c r="AB11" s="200">
        <v>3.9472235894000001</v>
      </c>
      <c r="AD11" s="5" t="s">
        <v>253</v>
      </c>
      <c r="AI11" s="168">
        <v>-9.5699999999999993E-2</v>
      </c>
      <c r="AJ11" s="168">
        <v>0.10580000000000001</v>
      </c>
      <c r="AK11" s="168">
        <v>0.29570000000000002</v>
      </c>
      <c r="AL11" s="168">
        <v>-3.3999999999999998E-3</v>
      </c>
      <c r="AM11" s="168">
        <v>0.10440000000000001</v>
      </c>
      <c r="AN11" s="168">
        <v>0.71040000000000003</v>
      </c>
      <c r="AO11" s="168">
        <v>8.9099999999999999E-2</v>
      </c>
      <c r="AP11" s="169">
        <v>3.3E-3</v>
      </c>
      <c r="AR11" s="5" t="s">
        <v>287</v>
      </c>
      <c r="AW11" s="11">
        <v>122730.09223900001</v>
      </c>
      <c r="AX11" s="12">
        <v>130605.017741</v>
      </c>
      <c r="AY11" s="2"/>
    </row>
    <row r="12" spans="2:51" x14ac:dyDescent="0.3">
      <c r="B12" s="5" t="s">
        <v>102</v>
      </c>
      <c r="G12" s="155">
        <v>14194</v>
      </c>
      <c r="H12" s="155">
        <v>15261</v>
      </c>
      <c r="I12" s="155">
        <v>16705</v>
      </c>
      <c r="J12" s="155">
        <v>18245</v>
      </c>
      <c r="K12" s="155">
        <v>19916</v>
      </c>
      <c r="L12" s="155">
        <v>21973</v>
      </c>
      <c r="M12" s="155">
        <v>25094</v>
      </c>
      <c r="N12" s="156">
        <v>24932</v>
      </c>
      <c r="P12" s="5" t="s">
        <v>227</v>
      </c>
      <c r="U12" s="167">
        <v>5.8605931104</v>
      </c>
      <c r="V12" s="167">
        <v>6.4232692291999998</v>
      </c>
      <c r="W12" s="167">
        <v>5.4055927530999996</v>
      </c>
      <c r="X12" s="167">
        <v>4.8988335224000004</v>
      </c>
      <c r="Y12" s="167">
        <v>3.7654767120999999</v>
      </c>
      <c r="Z12" s="167">
        <v>3.7775565837</v>
      </c>
      <c r="AA12" s="167">
        <v>3.1248221273999999</v>
      </c>
      <c r="AB12" s="200">
        <v>3.9472235894000001</v>
      </c>
      <c r="AD12" s="5" t="s">
        <v>130</v>
      </c>
      <c r="AI12" s="168">
        <v>-4.9099999999999998E-2</v>
      </c>
      <c r="AJ12" s="168">
        <v>-4.6399999999999997E-2</v>
      </c>
      <c r="AK12" s="168">
        <v>-5.0200000000000002E-2</v>
      </c>
      <c r="AL12" s="168">
        <v>-6.8099999999999994E-2</v>
      </c>
      <c r="AM12" s="168">
        <v>-6.0600000000000001E-2</v>
      </c>
      <c r="AN12" s="168">
        <v>-3.7499999999999999E-2</v>
      </c>
      <c r="AO12" s="168">
        <v>-2.9100000000000001E-2</v>
      </c>
      <c r="AP12" s="169">
        <v>-2.9100000000000001E-2</v>
      </c>
      <c r="AR12" s="5" t="s">
        <v>288</v>
      </c>
      <c r="AW12" s="11">
        <v>134386.58982200001</v>
      </c>
      <c r="AX12" s="12">
        <v>131361.60487899999</v>
      </c>
      <c r="AY12" s="2"/>
    </row>
    <row r="13" spans="2:51" x14ac:dyDescent="0.3">
      <c r="B13" s="13" t="s">
        <v>153</v>
      </c>
      <c r="C13" s="14"/>
      <c r="D13" s="14"/>
      <c r="E13" s="14"/>
      <c r="F13" s="14"/>
      <c r="G13" s="159">
        <v>0</v>
      </c>
      <c r="H13" s="159">
        <v>0</v>
      </c>
      <c r="I13" s="159">
        <v>0</v>
      </c>
      <c r="J13" s="159">
        <v>0</v>
      </c>
      <c r="K13" s="159">
        <v>0</v>
      </c>
      <c r="L13" s="159">
        <v>0</v>
      </c>
      <c r="M13" s="159">
        <v>0</v>
      </c>
      <c r="N13" s="160">
        <v>0</v>
      </c>
      <c r="P13" s="5" t="s">
        <v>228</v>
      </c>
      <c r="U13" s="167">
        <v>4.0436351406000002</v>
      </c>
      <c r="V13" s="167">
        <v>5.6544722288000004</v>
      </c>
      <c r="W13" s="167">
        <v>5.9391545790000002</v>
      </c>
      <c r="X13" s="167">
        <v>6.0430387926</v>
      </c>
      <c r="Y13" s="167">
        <v>7.2124332481</v>
      </c>
      <c r="Z13" s="167">
        <v>8.3327186097000006</v>
      </c>
      <c r="AA13" s="167">
        <v>8.3504753926999999</v>
      </c>
      <c r="AB13" s="200">
        <v>8.1212604160000001</v>
      </c>
      <c r="AD13" s="5" t="s">
        <v>254</v>
      </c>
      <c r="AI13" s="168">
        <v>-5.0500000000000003E-2</v>
      </c>
      <c r="AJ13" s="168">
        <v>-4.5199999999999997E-2</v>
      </c>
      <c r="AK13" s="168">
        <v>-4.7899999999999998E-2</v>
      </c>
      <c r="AL13" s="168">
        <v>-7.0199999999999999E-2</v>
      </c>
      <c r="AM13" s="168">
        <v>-5.74E-2</v>
      </c>
      <c r="AN13" s="168">
        <v>-3.78E-2</v>
      </c>
      <c r="AO13" s="168">
        <v>-3.2000000000000001E-2</v>
      </c>
      <c r="AP13" s="169">
        <v>-3.1399999999999997E-2</v>
      </c>
      <c r="AR13" s="5" t="s">
        <v>289</v>
      </c>
      <c r="AW13" s="11">
        <v>127815.76585900001</v>
      </c>
      <c r="AX13" s="12">
        <v>130782.447468</v>
      </c>
      <c r="AY13" s="2"/>
    </row>
    <row r="14" spans="2:51" x14ac:dyDescent="0.3">
      <c r="B14" s="5" t="s">
        <v>154</v>
      </c>
      <c r="G14" s="155">
        <v>24239</v>
      </c>
      <c r="H14" s="155">
        <v>26842</v>
      </c>
      <c r="I14" s="155">
        <v>30941</v>
      </c>
      <c r="J14" s="155">
        <v>34462</v>
      </c>
      <c r="K14" s="155">
        <v>38668</v>
      </c>
      <c r="L14" s="155">
        <v>43887</v>
      </c>
      <c r="M14" s="155">
        <v>51345</v>
      </c>
      <c r="N14" s="156">
        <v>54847</v>
      </c>
      <c r="P14" s="7" t="s">
        <v>132</v>
      </c>
      <c r="U14" s="167">
        <v>616670830400</v>
      </c>
      <c r="V14" s="167">
        <v>804081337040</v>
      </c>
      <c r="W14" s="167">
        <v>1118725911520</v>
      </c>
      <c r="X14" s="167">
        <v>1010566792560</v>
      </c>
      <c r="Y14" s="167">
        <v>1948295921320</v>
      </c>
      <c r="Z14" s="167">
        <v>2453750882240</v>
      </c>
      <c r="AA14" s="167">
        <v>2439367314090</v>
      </c>
      <c r="AB14" s="200">
        <v>2695569789510</v>
      </c>
      <c r="AD14" s="5" t="s">
        <v>255</v>
      </c>
      <c r="AI14" s="168">
        <v>0.1052</v>
      </c>
      <c r="AJ14" s="168">
        <v>0.10199999999999999</v>
      </c>
      <c r="AK14" s="168">
        <v>0.13059999999999999</v>
      </c>
      <c r="AL14" s="168">
        <v>0.10489999999999999</v>
      </c>
      <c r="AM14" s="168">
        <v>6.1600000000000002E-2</v>
      </c>
      <c r="AN14" s="168">
        <v>6.7500000000000004E-2</v>
      </c>
      <c r="AO14" s="168">
        <v>5.6599999999999998E-2</v>
      </c>
      <c r="AP14" s="169">
        <v>4.2700000000000002E-2</v>
      </c>
      <c r="AR14" s="5" t="s">
        <v>290</v>
      </c>
      <c r="AW14" s="11">
        <v>91839.248934000003</v>
      </c>
      <c r="AX14" s="12">
        <v>92114.285029999999</v>
      </c>
      <c r="AY14" s="2"/>
    </row>
    <row r="15" spans="2:51" x14ac:dyDescent="0.3">
      <c r="B15" s="5"/>
      <c r="G15" s="155"/>
      <c r="H15" s="155"/>
      <c r="I15" s="155"/>
      <c r="J15" s="155"/>
      <c r="K15" s="155"/>
      <c r="L15" s="155"/>
      <c r="M15" s="155"/>
      <c r="N15" s="156"/>
      <c r="P15" s="7" t="s">
        <v>83</v>
      </c>
      <c r="U15" s="167">
        <v>683218830400</v>
      </c>
      <c r="V15" s="167">
        <v>899472337040</v>
      </c>
      <c r="W15" s="167">
        <v>1207295911520</v>
      </c>
      <c r="X15" s="167">
        <v>1069769792560</v>
      </c>
      <c r="Y15" s="167">
        <v>2032557921320</v>
      </c>
      <c r="Z15" s="167">
        <v>2555332882240</v>
      </c>
      <c r="AA15" s="167">
        <v>2548201314090</v>
      </c>
      <c r="AB15" s="200">
        <v>2789534789510</v>
      </c>
      <c r="AD15" s="5" t="s">
        <v>256</v>
      </c>
      <c r="AI15" s="168">
        <v>-0.185</v>
      </c>
      <c r="AJ15" s="168">
        <v>-3.0300000000000001E-2</v>
      </c>
      <c r="AK15" s="168">
        <v>0.20569999999999999</v>
      </c>
      <c r="AL15" s="168">
        <v>-0.10390000000000001</v>
      </c>
      <c r="AM15" s="168">
        <v>0.16259999999999999</v>
      </c>
      <c r="AN15" s="168">
        <v>0.28960000000000002</v>
      </c>
      <c r="AO15" s="168">
        <v>0.1741</v>
      </c>
      <c r="AP15" s="169">
        <v>-9.5000000000000001E-2</v>
      </c>
      <c r="AR15" s="5" t="s">
        <v>291</v>
      </c>
      <c r="AW15" s="11">
        <v>103321.443267</v>
      </c>
      <c r="AX15" s="12">
        <v>103094.722295</v>
      </c>
      <c r="AY15" s="2"/>
    </row>
    <row r="16" spans="2:51" x14ac:dyDescent="0.3">
      <c r="B16" s="5" t="s">
        <v>155</v>
      </c>
      <c r="G16" s="155" cm="1">
        <f t="array" ref="G16:N17">_xldudf_WISE(C2,B16:B17,G4:N4)/1000000</f>
        <v>155615</v>
      </c>
      <c r="H16" s="155">
        <v>167890</v>
      </c>
      <c r="I16" s="155">
        <v>194697</v>
      </c>
      <c r="J16" s="155">
        <v>196244</v>
      </c>
      <c r="K16" s="155">
        <v>208227</v>
      </c>
      <c r="L16" s="155">
        <v>256868</v>
      </c>
      <c r="M16" s="155">
        <v>274891</v>
      </c>
      <c r="N16" s="156">
        <v>268984</v>
      </c>
      <c r="P16" s="5" t="s">
        <v>74</v>
      </c>
      <c r="U16" s="167">
        <v>13.4977308731</v>
      </c>
      <c r="V16" s="167">
        <v>16.6300870104</v>
      </c>
      <c r="W16" s="167">
        <v>18.792325200699999</v>
      </c>
      <c r="X16" s="167">
        <v>18.2888155596</v>
      </c>
      <c r="Y16" s="167">
        <v>33.935934251600003</v>
      </c>
      <c r="Z16" s="167">
        <v>25.916253509099999</v>
      </c>
      <c r="AA16" s="167">
        <v>24.441823533299999</v>
      </c>
      <c r="AB16" s="200">
        <v>27.790811789399999</v>
      </c>
      <c r="AD16" s="5" t="s">
        <v>257</v>
      </c>
      <c r="AI16" s="168">
        <v>-0.245</v>
      </c>
      <c r="AJ16" s="168">
        <v>-2.3800000000000002E-2</v>
      </c>
      <c r="AK16" s="168">
        <v>0.24679999999999999</v>
      </c>
      <c r="AL16" s="168">
        <v>-8.1500000000000003E-2</v>
      </c>
      <c r="AM16" s="168">
        <v>0.2457</v>
      </c>
      <c r="AN16" s="168">
        <v>0.26700000000000002</v>
      </c>
      <c r="AO16" s="168">
        <v>0.19889999999999999</v>
      </c>
      <c r="AP16" s="169">
        <v>-0.10639999999999999</v>
      </c>
      <c r="AR16" s="5" t="s">
        <v>292</v>
      </c>
      <c r="AW16" s="11">
        <v>100389</v>
      </c>
      <c r="AX16" s="12">
        <v>97294</v>
      </c>
      <c r="AY16" s="2"/>
    </row>
    <row r="17" spans="2:51" x14ac:dyDescent="0.3">
      <c r="B17" s="5" t="s">
        <v>80</v>
      </c>
      <c r="G17" s="155">
        <v>73333</v>
      </c>
      <c r="H17" s="155">
        <v>76569</v>
      </c>
      <c r="I17" s="155">
        <v>87046</v>
      </c>
      <c r="J17" s="155">
        <v>81860</v>
      </c>
      <c r="K17" s="155">
        <v>81020</v>
      </c>
      <c r="L17" s="155">
        <v>123136</v>
      </c>
      <c r="M17" s="155">
        <v>133138</v>
      </c>
      <c r="N17" s="156">
        <v>129188</v>
      </c>
      <c r="P17" s="5" t="s">
        <v>97</v>
      </c>
      <c r="U17" s="167">
        <v>2.859737016</v>
      </c>
      <c r="V17" s="167">
        <v>3.5076879391000002</v>
      </c>
      <c r="W17" s="167">
        <v>4.2121497449999996</v>
      </c>
      <c r="X17" s="167">
        <v>3.8841959326</v>
      </c>
      <c r="Y17" s="167">
        <v>7.0972293730000002</v>
      </c>
      <c r="Z17" s="167">
        <v>6.7075911788000004</v>
      </c>
      <c r="AA17" s="167">
        <v>6.1861377181000003</v>
      </c>
      <c r="AB17" s="200">
        <v>7.0328079354000002</v>
      </c>
      <c r="AD17" s="5" t="s">
        <v>258</v>
      </c>
      <c r="AI17" s="168">
        <v>11.0573</v>
      </c>
      <c r="AJ17" s="168">
        <v>10.077199999999999</v>
      </c>
      <c r="AK17" s="168">
        <v>9.1837</v>
      </c>
      <c r="AL17" s="168">
        <v>7.2668999999999997</v>
      </c>
      <c r="AM17" s="168">
        <v>5.1764999999999999</v>
      </c>
      <c r="AN17" s="168">
        <v>4.2365000000000004</v>
      </c>
      <c r="AO17" s="168">
        <v>3.0669</v>
      </c>
      <c r="AP17" s="169">
        <v>2.6905000000000001</v>
      </c>
      <c r="AR17" s="5" t="s">
        <v>293</v>
      </c>
      <c r="AW17" s="11">
        <v>23584.887024</v>
      </c>
      <c r="AX17" s="12">
        <v>25098.201525</v>
      </c>
      <c r="AY17" s="2"/>
    </row>
    <row r="18" spans="2:51" x14ac:dyDescent="0.3">
      <c r="B18" s="5" t="s">
        <v>156</v>
      </c>
      <c r="G18" s="151" cm="1">
        <f t="array" ref="G18:N18">_xldudf_WISE($C$2,$B18,G$4:N$4)</f>
        <v>0.34007299200000002</v>
      </c>
      <c r="H18" s="151">
        <v>0.33402113100000003</v>
      </c>
      <c r="I18" s="151">
        <v>0.32773960400000002</v>
      </c>
      <c r="J18" s="151">
        <v>0.31463559000000002</v>
      </c>
      <c r="K18" s="151">
        <v>0.295138699</v>
      </c>
      <c r="L18" s="151">
        <v>0.33660546099999999</v>
      </c>
      <c r="M18" s="151">
        <v>0.33763263100000002</v>
      </c>
      <c r="N18" s="152">
        <v>0.337054672</v>
      </c>
      <c r="P18" s="5" t="s">
        <v>229</v>
      </c>
      <c r="U18" s="167">
        <v>9.3109092478999997</v>
      </c>
      <c r="V18" s="167">
        <v>12.519756123600001</v>
      </c>
      <c r="W18" s="167">
        <v>14.4474767095</v>
      </c>
      <c r="X18" s="167">
        <v>14.563369782200001</v>
      </c>
      <c r="Y18" s="167">
        <v>24.150233300899998</v>
      </c>
      <c r="Z18" s="167">
        <v>23.585140835499999</v>
      </c>
      <c r="AA18" s="167">
        <v>19.970096962700001</v>
      </c>
      <c r="AB18" s="200">
        <v>24.384807627000001</v>
      </c>
      <c r="AD18" s="5" t="s">
        <v>259</v>
      </c>
      <c r="AI18" s="168">
        <v>1.3557999999999999</v>
      </c>
      <c r="AJ18" s="168">
        <v>0.83709999999999996</v>
      </c>
      <c r="AK18" s="168">
        <v>1.0313000000000001</v>
      </c>
      <c r="AL18" s="168">
        <v>0.87570000000000003</v>
      </c>
      <c r="AM18" s="168">
        <v>0.55779999999999996</v>
      </c>
      <c r="AN18" s="168">
        <v>1.2228000000000001</v>
      </c>
      <c r="AO18" s="168">
        <v>1.2138</v>
      </c>
      <c r="AP18" s="169">
        <v>0.81679999999999997</v>
      </c>
      <c r="AR18" s="5" t="s">
        <v>294</v>
      </c>
      <c r="AW18" s="11">
        <v>25824.901462000002</v>
      </c>
      <c r="AX18" s="12">
        <v>25243.593921</v>
      </c>
      <c r="AY18" s="2"/>
    </row>
    <row r="19" spans="2:51" x14ac:dyDescent="0.3">
      <c r="B19" s="5" t="s">
        <v>34</v>
      </c>
      <c r="G19" s="155" cm="1">
        <f t="array" ref="G19:N21">_xldudf_WISE($C$2,$B19:$B21,G$4:N$4)/1000000</f>
        <v>1456</v>
      </c>
      <c r="H19" s="155">
        <v>2323</v>
      </c>
      <c r="I19" s="155">
        <v>3240</v>
      </c>
      <c r="J19" s="155">
        <v>3576</v>
      </c>
      <c r="K19" s="155">
        <v>2873</v>
      </c>
      <c r="L19" s="155">
        <v>2645</v>
      </c>
      <c r="M19" s="155">
        <v>2931</v>
      </c>
      <c r="N19" s="156">
        <v>3933</v>
      </c>
      <c r="P19" s="5" t="s">
        <v>75</v>
      </c>
      <c r="U19" s="167">
        <v>11.70530969</v>
      </c>
      <c r="V19" s="167">
        <v>15.634480595799999</v>
      </c>
      <c r="W19" s="167">
        <v>17.4471064319</v>
      </c>
      <c r="X19" s="167">
        <v>17.158496206199999</v>
      </c>
      <c r="Y19" s="167">
        <v>26.556204202499998</v>
      </c>
      <c r="Z19" s="167">
        <v>26.397758891500001</v>
      </c>
      <c r="AA19" s="167">
        <v>21.888923611999999</v>
      </c>
      <c r="AB19" s="200">
        <v>27.068302031599998</v>
      </c>
      <c r="AD19" s="5" t="s">
        <v>260</v>
      </c>
      <c r="AI19" s="168">
        <v>0.49380000000000002</v>
      </c>
      <c r="AJ19" s="168">
        <v>0.46279999999999999</v>
      </c>
      <c r="AK19" s="168">
        <v>0.31940000000000002</v>
      </c>
      <c r="AL19" s="168">
        <v>0.4294</v>
      </c>
      <c r="AM19" s="168">
        <v>0.44019999999999998</v>
      </c>
      <c r="AN19" s="168">
        <v>0.63470000000000004</v>
      </c>
      <c r="AO19" s="168">
        <v>0.72640000000000005</v>
      </c>
      <c r="AP19" s="169">
        <v>0.53879999999999995</v>
      </c>
      <c r="AR19" s="5" t="s">
        <v>295</v>
      </c>
      <c r="AW19" s="11">
        <v>24562.194509000001</v>
      </c>
      <c r="AX19" s="12">
        <v>25132.297972</v>
      </c>
      <c r="AY19" s="2"/>
    </row>
    <row r="20" spans="2:51" x14ac:dyDescent="0.3">
      <c r="B20" s="5" t="s">
        <v>157</v>
      </c>
      <c r="G20" s="155">
        <v>10505</v>
      </c>
      <c r="H20" s="155">
        <v>10157</v>
      </c>
      <c r="I20" s="155">
        <v>10903</v>
      </c>
      <c r="J20" s="155">
        <v>12547</v>
      </c>
      <c r="K20" s="155">
        <v>11056</v>
      </c>
      <c r="L20" s="155">
        <v>11284</v>
      </c>
      <c r="M20" s="155">
        <v>11104</v>
      </c>
      <c r="N20" s="156">
        <v>11519</v>
      </c>
      <c r="P20" s="5" t="s">
        <v>77</v>
      </c>
      <c r="U20" s="167">
        <v>4.8083870471000001</v>
      </c>
      <c r="V20" s="167">
        <v>5.9985030403000001</v>
      </c>
      <c r="W20" s="167">
        <v>10.4410381207</v>
      </c>
      <c r="X20" s="167">
        <v>11.1679647308</v>
      </c>
      <c r="Y20" s="167">
        <v>29.8182696601</v>
      </c>
      <c r="Z20" s="167">
        <v>38.8928654658</v>
      </c>
      <c r="AA20" s="167">
        <v>48.140340110700002</v>
      </c>
      <c r="AB20" s="200">
        <v>43.374791450899998</v>
      </c>
      <c r="AD20" s="5" t="s">
        <v>261</v>
      </c>
      <c r="AI20" s="168">
        <v>31.220099999999999</v>
      </c>
      <c r="AJ20" s="168">
        <v>12.6203</v>
      </c>
      <c r="AK20" s="168">
        <v>9.0492000000000008</v>
      </c>
      <c r="AL20" s="168">
        <v>8.2463999999999995</v>
      </c>
      <c r="AM20" s="168">
        <v>5.3669000000000002</v>
      </c>
      <c r="AN20" s="168">
        <v>3.2955999999999999</v>
      </c>
      <c r="AO20" s="168">
        <v>2.8769999999999998</v>
      </c>
      <c r="AP20" s="169">
        <v>2.3896999999999999</v>
      </c>
      <c r="AR20" s="5" t="s">
        <v>296</v>
      </c>
      <c r="AW20" s="11" cm="1">
        <f t="array" ref="AW20:AX24">_xldudf_WISE($C$2,$AR20:$AR24,AW$4:AX$4)</f>
        <v>6.4545700000000004</v>
      </c>
      <c r="AX20" s="9">
        <v>6.7082100000000002</v>
      </c>
      <c r="AY20" s="2"/>
    </row>
    <row r="21" spans="2:51" x14ac:dyDescent="0.3">
      <c r="B21" s="22" t="s">
        <v>137</v>
      </c>
      <c r="C21" s="23"/>
      <c r="D21" s="23"/>
      <c r="E21" s="23"/>
      <c r="F21" s="23"/>
      <c r="G21" s="161">
        <v>60024</v>
      </c>
      <c r="H21" s="161">
        <v>61344</v>
      </c>
      <c r="I21" s="161">
        <v>70898</v>
      </c>
      <c r="J21" s="161">
        <v>63930</v>
      </c>
      <c r="K21" s="161">
        <v>66288</v>
      </c>
      <c r="L21" s="161">
        <v>108949</v>
      </c>
      <c r="M21" s="161">
        <v>119437</v>
      </c>
      <c r="N21" s="162">
        <v>114301</v>
      </c>
      <c r="P21" s="5" t="s">
        <v>79</v>
      </c>
      <c r="U21" s="167">
        <v>4.8083870471000001</v>
      </c>
      <c r="V21" s="167">
        <v>5.9985030403000001</v>
      </c>
      <c r="W21" s="167">
        <v>10.4410381207</v>
      </c>
      <c r="X21" s="167">
        <v>11.1679647308</v>
      </c>
      <c r="Y21" s="167">
        <v>29.8182696601</v>
      </c>
      <c r="Z21" s="167">
        <v>38.8928654658</v>
      </c>
      <c r="AA21" s="167">
        <v>48.140340110700002</v>
      </c>
      <c r="AB21" s="200">
        <v>43.374791450899998</v>
      </c>
      <c r="AD21" s="5" t="s">
        <v>262</v>
      </c>
      <c r="AI21" s="168">
        <v>1.0871</v>
      </c>
      <c r="AJ21" s="168">
        <v>0.58399999999999996</v>
      </c>
      <c r="AK21" s="168">
        <v>0.88600000000000001</v>
      </c>
      <c r="AL21" s="168">
        <v>0.53139999999999998</v>
      </c>
      <c r="AM21" s="168">
        <v>0.31659999999999999</v>
      </c>
      <c r="AN21" s="168">
        <v>1.0582</v>
      </c>
      <c r="AO21" s="168">
        <v>1.4477</v>
      </c>
      <c r="AP21" s="169">
        <v>0.79730000000000001</v>
      </c>
      <c r="AR21" s="5" t="s">
        <v>297</v>
      </c>
      <c r="AW21" s="66">
        <v>6.8859399999999997</v>
      </c>
      <c r="AX21" s="9">
        <v>6.8708299999999998</v>
      </c>
      <c r="AY21" s="2"/>
    </row>
    <row r="22" spans="2:51" x14ac:dyDescent="0.3">
      <c r="B22" s="5" t="s">
        <v>158</v>
      </c>
      <c r="G22" s="151" cm="1">
        <f t="array" ref="G22:N22">_xldudf_WISE($C$2,$B22,G$4:N$4)</f>
        <v>0.27835410100000002</v>
      </c>
      <c r="H22" s="151">
        <v>0.26760428200000003</v>
      </c>
      <c r="I22" s="151">
        <v>0.26694026599999998</v>
      </c>
      <c r="J22" s="151">
        <v>0.24572017199999999</v>
      </c>
      <c r="K22" s="151">
        <v>0.241473144</v>
      </c>
      <c r="L22" s="151">
        <v>0.29782377500000001</v>
      </c>
      <c r="M22" s="151">
        <v>0.30288744400000001</v>
      </c>
      <c r="N22" s="152">
        <v>0.298214123</v>
      </c>
      <c r="P22" s="5" t="s">
        <v>81</v>
      </c>
      <c r="U22" s="167">
        <v>3.1683453845999998</v>
      </c>
      <c r="V22" s="167">
        <v>3.9238173090999999</v>
      </c>
      <c r="W22" s="167">
        <v>4.5456274082999997</v>
      </c>
      <c r="X22" s="167">
        <v>4.1117474942000003</v>
      </c>
      <c r="Y22" s="167">
        <v>7.4041779914000001</v>
      </c>
      <c r="Z22" s="167">
        <v>6.9852764694999996</v>
      </c>
      <c r="AA22" s="167">
        <v>6.4621363791000004</v>
      </c>
      <c r="AB22" s="200">
        <v>7.2779649333999998</v>
      </c>
      <c r="AD22" s="5" t="s">
        <v>263</v>
      </c>
      <c r="AI22" s="168">
        <v>0.4612</v>
      </c>
      <c r="AJ22" s="168">
        <v>0.25459999999999999</v>
      </c>
      <c r="AK22" s="168">
        <v>0.10630000000000001</v>
      </c>
      <c r="AL22" s="168">
        <v>0.2412</v>
      </c>
      <c r="AM22" s="168">
        <v>0.51070000000000004</v>
      </c>
      <c r="AN22" s="168">
        <v>0.59460000000000002</v>
      </c>
      <c r="AO22" s="168">
        <v>1.0052000000000001</v>
      </c>
      <c r="AP22" s="169">
        <v>0.51019999999999999</v>
      </c>
      <c r="AR22" s="5" t="s">
        <v>298</v>
      </c>
      <c r="AW22" s="66">
        <v>6.1207000000000003</v>
      </c>
      <c r="AX22" s="9">
        <v>6.13903</v>
      </c>
      <c r="AY22" s="2"/>
    </row>
    <row r="23" spans="2:51" x14ac:dyDescent="0.3">
      <c r="B23" s="5"/>
      <c r="G23" s="155"/>
      <c r="H23" s="155"/>
      <c r="I23" s="155"/>
      <c r="J23" s="155"/>
      <c r="K23" s="155"/>
      <c r="L23" s="155"/>
      <c r="M23" s="155"/>
      <c r="N23" s="156"/>
      <c r="P23" s="5" t="s">
        <v>85</v>
      </c>
      <c r="U23" s="167">
        <v>9.3166627630000001</v>
      </c>
      <c r="V23" s="167">
        <v>11.747212802</v>
      </c>
      <c r="W23" s="167">
        <v>13.869631132</v>
      </c>
      <c r="X23" s="167">
        <v>13.0682847857</v>
      </c>
      <c r="Y23" s="167">
        <v>25.0871133216</v>
      </c>
      <c r="Z23" s="167">
        <v>20.7521186512</v>
      </c>
      <c r="AA23" s="167">
        <v>19.139549295399998</v>
      </c>
      <c r="AB23" s="200">
        <v>21.5928320704</v>
      </c>
      <c r="AD23" s="5" t="s">
        <v>264</v>
      </c>
      <c r="AI23" s="168">
        <v>23.807099999999998</v>
      </c>
      <c r="AJ23" s="168">
        <v>15.048299999999999</v>
      </c>
      <c r="AK23" s="168">
        <v>14.336499999999999</v>
      </c>
      <c r="AL23" s="168">
        <v>8.0831</v>
      </c>
      <c r="AM23" s="168">
        <v>5.0125000000000002</v>
      </c>
      <c r="AN23" s="168">
        <v>4.6597</v>
      </c>
      <c r="AO23" s="168">
        <v>2.8601999999999999</v>
      </c>
      <c r="AP23" s="169">
        <v>3.3096999999999999</v>
      </c>
      <c r="AR23" s="5" t="s">
        <v>299</v>
      </c>
      <c r="AW23">
        <v>22</v>
      </c>
      <c r="AX23" s="6">
        <v>25</v>
      </c>
    </row>
    <row r="24" spans="2:51" x14ac:dyDescent="0.3">
      <c r="B24" s="5" t="s">
        <v>159</v>
      </c>
      <c r="G24" s="155" cm="1">
        <f t="array" ref="G24:N25">_xldudf_WISE($C$2,$B24:$B25,G$4:N$4)/1000000</f>
        <v>1348</v>
      </c>
      <c r="H24" s="155">
        <v>2745</v>
      </c>
      <c r="I24" s="155">
        <v>2005</v>
      </c>
      <c r="J24" s="155">
        <v>1807</v>
      </c>
      <c r="K24" s="155">
        <v>803</v>
      </c>
      <c r="L24" s="155">
        <v>258</v>
      </c>
      <c r="M24" s="155">
        <v>-334</v>
      </c>
      <c r="N24" s="156">
        <v>-565</v>
      </c>
      <c r="P24" s="5" t="s">
        <v>87</v>
      </c>
      <c r="U24" s="167">
        <v>10.315695526300001</v>
      </c>
      <c r="V24" s="167">
        <v>14.005018871800001</v>
      </c>
      <c r="W24" s="167">
        <v>15.591289504900001</v>
      </c>
      <c r="X24" s="167">
        <v>15.416549589400001</v>
      </c>
      <c r="Y24" s="167">
        <v>25.194708596600002</v>
      </c>
      <c r="Z24" s="167">
        <v>24.561534076400001</v>
      </c>
      <c r="AA24" s="167">
        <v>20.8610761606</v>
      </c>
      <c r="AB24" s="200">
        <v>25.234838836600002</v>
      </c>
      <c r="AD24" s="5" t="s">
        <v>265</v>
      </c>
      <c r="AI24" s="168">
        <v>1.0843</v>
      </c>
      <c r="AJ24" s="168">
        <v>0.4531</v>
      </c>
      <c r="AK24" s="168">
        <v>1.101</v>
      </c>
      <c r="AL24" s="168">
        <v>0.84299999999999997</v>
      </c>
      <c r="AM24" s="168">
        <v>0.42609999999999998</v>
      </c>
      <c r="AN24" s="168">
        <v>1.7154</v>
      </c>
      <c r="AO24" s="168">
        <v>1.6564000000000001</v>
      </c>
      <c r="AP24" s="169">
        <v>1.0512999999999999</v>
      </c>
      <c r="AR24" s="13" t="s">
        <v>300</v>
      </c>
      <c r="AS24" s="14"/>
      <c r="AT24" s="14"/>
      <c r="AU24" s="14"/>
      <c r="AV24" s="14"/>
      <c r="AW24" s="14">
        <v>24</v>
      </c>
      <c r="AX24" s="21">
        <v>26</v>
      </c>
    </row>
    <row r="25" spans="2:51" x14ac:dyDescent="0.3">
      <c r="B25" s="5" t="s">
        <v>160</v>
      </c>
      <c r="G25" s="155">
        <v>61372</v>
      </c>
      <c r="H25" s="155">
        <v>64089</v>
      </c>
      <c r="I25" s="155">
        <v>72903</v>
      </c>
      <c r="J25" s="155">
        <v>65737</v>
      </c>
      <c r="K25" s="155">
        <v>67091</v>
      </c>
      <c r="L25" s="155">
        <v>109207</v>
      </c>
      <c r="M25" s="155">
        <v>119103</v>
      </c>
      <c r="N25" s="156">
        <v>113736</v>
      </c>
      <c r="P25" s="5" t="s">
        <v>89</v>
      </c>
      <c r="U25" s="167">
        <v>12.9684875652</v>
      </c>
      <c r="V25" s="167">
        <v>17.4892540743</v>
      </c>
      <c r="W25" s="167">
        <v>18.828401171500001</v>
      </c>
      <c r="X25" s="167">
        <v>18.163708784299999</v>
      </c>
      <c r="Y25" s="167">
        <v>27.7047355186</v>
      </c>
      <c r="Z25" s="167">
        <v>27.490590752700001</v>
      </c>
      <c r="AA25" s="167">
        <v>22.865512540899999</v>
      </c>
      <c r="AB25" s="200">
        <v>28.0118773047</v>
      </c>
      <c r="AD25" s="5" t="s">
        <v>266</v>
      </c>
      <c r="AI25" s="168">
        <v>0.46050000000000002</v>
      </c>
      <c r="AJ25" s="168">
        <v>0.4274</v>
      </c>
      <c r="AK25" s="168">
        <v>0.29449999999999998</v>
      </c>
      <c r="AL25" s="168">
        <v>0.43290000000000001</v>
      </c>
      <c r="AM25" s="168">
        <v>0.42799999999999999</v>
      </c>
      <c r="AN25" s="168">
        <v>0.88759999999999994</v>
      </c>
      <c r="AO25" s="168">
        <v>1.0573999999999999</v>
      </c>
      <c r="AP25" s="169">
        <v>0.86199999999999999</v>
      </c>
    </row>
    <row r="26" spans="2:51" x14ac:dyDescent="0.3">
      <c r="B26" s="5" t="s">
        <v>161</v>
      </c>
      <c r="G26" s="202" cm="1">
        <f t="array" ref="G26:N26">_xldudf_WISE($C$2,$B26,G$4:N$4)</f>
        <v>0.28460528899999998</v>
      </c>
      <c r="H26" s="202">
        <v>0.27957894599999999</v>
      </c>
      <c r="I26" s="202">
        <v>0.27448935400000002</v>
      </c>
      <c r="J26" s="202">
        <v>0.25266552399999997</v>
      </c>
      <c r="K26" s="202">
        <v>0.24439830300000001</v>
      </c>
      <c r="L26" s="202">
        <v>0.29852904600000002</v>
      </c>
      <c r="M26" s="202">
        <v>0.302040433</v>
      </c>
      <c r="N26" s="203">
        <v>0.29674002399999999</v>
      </c>
      <c r="P26" s="5" t="s">
        <v>111</v>
      </c>
      <c r="U26" s="167">
        <v>7.4086526799999997E-2</v>
      </c>
      <c r="V26" s="167">
        <v>6.0131976400000002E-2</v>
      </c>
      <c r="W26" s="167">
        <v>5.32132128E-2</v>
      </c>
      <c r="X26" s="167">
        <v>5.4678226500000003E-2</v>
      </c>
      <c r="Y26" s="167">
        <v>2.94672895E-2</v>
      </c>
      <c r="Z26" s="167">
        <v>3.8585824099999999E-2</v>
      </c>
      <c r="AA26" s="167">
        <v>4.0913477599999998E-2</v>
      </c>
      <c r="AB26" s="200">
        <v>3.59831158E-2</v>
      </c>
      <c r="AD26" s="5" t="s">
        <v>267</v>
      </c>
      <c r="AI26" s="168">
        <v>12.8729</v>
      </c>
      <c r="AJ26" s="168">
        <v>9.7004000000000001</v>
      </c>
      <c r="AK26" s="168">
        <v>4.9843999999999999</v>
      </c>
      <c r="AL26" s="168">
        <v>2.8715000000000002</v>
      </c>
      <c r="AM26" s="168">
        <v>1.0064</v>
      </c>
      <c r="AN26" s="168">
        <v>0.27600000000000002</v>
      </c>
      <c r="AO26" s="168">
        <v>-0.30809999999999998</v>
      </c>
      <c r="AP26" s="169">
        <v>-0.17219999999999999</v>
      </c>
    </row>
    <row r="27" spans="2:51" x14ac:dyDescent="0.3">
      <c r="B27" s="5" t="s">
        <v>162</v>
      </c>
      <c r="G27" s="155" cm="1">
        <f t="array" ref="G27:N28">_xldudf_WISE($C$2,$B27:$B28,G$4:N$4)/1000000</f>
        <v>15685</v>
      </c>
      <c r="H27" s="155">
        <v>15738</v>
      </c>
      <c r="I27" s="155">
        <v>13372</v>
      </c>
      <c r="J27" s="155">
        <v>10481</v>
      </c>
      <c r="K27" s="155">
        <v>9680</v>
      </c>
      <c r="L27" s="155">
        <v>14527</v>
      </c>
      <c r="M27" s="155">
        <v>19300</v>
      </c>
      <c r="N27" s="156">
        <v>16741</v>
      </c>
      <c r="P27" s="5" t="s">
        <v>113</v>
      </c>
      <c r="U27" s="167">
        <v>8.5431315100000002E-2</v>
      </c>
      <c r="V27" s="167">
        <v>6.3961191000000001E-2</v>
      </c>
      <c r="W27" s="167">
        <v>5.7316094400000003E-2</v>
      </c>
      <c r="X27" s="167">
        <v>5.8280165600000003E-2</v>
      </c>
      <c r="Y27" s="167">
        <v>3.7655984000000003E-2</v>
      </c>
      <c r="Z27" s="167">
        <v>3.78820037E-2</v>
      </c>
      <c r="AA27" s="167">
        <v>4.5685206700000001E-2</v>
      </c>
      <c r="AB27" s="200">
        <v>3.6943580699999999E-2</v>
      </c>
      <c r="AD27" s="5" t="s">
        <v>268</v>
      </c>
      <c r="AI27" s="168">
        <v>0.97960000000000003</v>
      </c>
      <c r="AJ27" s="168">
        <v>0.42230000000000001</v>
      </c>
      <c r="AK27" s="168">
        <v>0.1336</v>
      </c>
      <c r="AL27" s="168">
        <v>6.9000000000000006E-2</v>
      </c>
      <c r="AM27" s="168">
        <v>-0.27400000000000002</v>
      </c>
      <c r="AN27" s="168">
        <v>-0.35539999999999999</v>
      </c>
      <c r="AO27" s="168">
        <v>-0.51349999999999996</v>
      </c>
      <c r="AP27" s="169">
        <v>-0.26979999999999998</v>
      </c>
    </row>
    <row r="28" spans="2:51" x14ac:dyDescent="0.3">
      <c r="B28" s="153" t="s">
        <v>82</v>
      </c>
      <c r="C28" s="150"/>
      <c r="D28" s="150"/>
      <c r="E28" s="150"/>
      <c r="F28" s="150"/>
      <c r="G28" s="163">
        <v>45687</v>
      </c>
      <c r="H28" s="163">
        <v>48351</v>
      </c>
      <c r="I28" s="163">
        <v>59531</v>
      </c>
      <c r="J28" s="163">
        <v>55256</v>
      </c>
      <c r="K28" s="163">
        <v>57411</v>
      </c>
      <c r="L28" s="163">
        <v>94680</v>
      </c>
      <c r="M28" s="163">
        <v>99803</v>
      </c>
      <c r="N28" s="164">
        <v>96995</v>
      </c>
      <c r="P28" s="5" t="s">
        <v>99</v>
      </c>
      <c r="U28" s="167">
        <v>0.67861737710000003</v>
      </c>
      <c r="V28" s="167">
        <v>0.86298089479999995</v>
      </c>
      <c r="W28" s="167">
        <v>1.0684666860000001</v>
      </c>
      <c r="X28" s="167">
        <v>1.1940478295000001</v>
      </c>
      <c r="Y28" s="167">
        <v>1.8714397221000001</v>
      </c>
      <c r="Z28" s="167">
        <v>2.1639245522000001</v>
      </c>
      <c r="AA28" s="167">
        <v>2.6144616356000001</v>
      </c>
      <c r="AB28" s="200">
        <v>1.9941750072</v>
      </c>
      <c r="AD28" s="5" t="s">
        <v>269</v>
      </c>
      <c r="AI28" s="168">
        <v>0.22900000000000001</v>
      </c>
      <c r="AJ28" s="168">
        <v>0.4017</v>
      </c>
      <c r="AK28" s="168">
        <v>4.2299999999999997E-2</v>
      </c>
      <c r="AL28" s="168">
        <v>-0.1641</v>
      </c>
      <c r="AM28" s="168">
        <v>-0.4138</v>
      </c>
      <c r="AN28" s="168">
        <v>-0.30120000000000002</v>
      </c>
      <c r="AO28" s="168">
        <v>-0.36209999999999998</v>
      </c>
      <c r="AP28" s="169">
        <v>4.8300000000000003E-2</v>
      </c>
    </row>
    <row r="29" spans="2:51" x14ac:dyDescent="0.3">
      <c r="B29" s="5"/>
      <c r="G29" s="155"/>
      <c r="H29" s="155"/>
      <c r="I29" s="155"/>
      <c r="J29" s="155"/>
      <c r="K29" s="155"/>
      <c r="L29" s="155"/>
      <c r="M29" s="155"/>
      <c r="N29" s="156"/>
      <c r="P29" s="5" t="s">
        <v>101</v>
      </c>
      <c r="U29" s="167">
        <v>0.27054954209999998</v>
      </c>
      <c r="V29" s="167">
        <v>0.30821780939999999</v>
      </c>
      <c r="W29" s="167">
        <v>0.31303028230000002</v>
      </c>
      <c r="X29" s="167">
        <v>0.31917841400000002</v>
      </c>
      <c r="Y29" s="167">
        <v>0.37753173940000001</v>
      </c>
      <c r="Z29" s="167">
        <v>0.38894935069999997</v>
      </c>
      <c r="AA29" s="167">
        <v>0.37555810690000002</v>
      </c>
      <c r="AB29" s="200">
        <v>0.35149170549999997</v>
      </c>
      <c r="AD29" s="5" t="s">
        <v>270</v>
      </c>
      <c r="AI29" s="168">
        <v>0</v>
      </c>
      <c r="AJ29" s="168">
        <v>0</v>
      </c>
      <c r="AK29" s="168">
        <v>0</v>
      </c>
      <c r="AL29" s="168">
        <v>0</v>
      </c>
      <c r="AM29" s="168">
        <v>0</v>
      </c>
      <c r="AN29" s="168">
        <v>0</v>
      </c>
      <c r="AO29" s="168">
        <v>8.6283999999999992</v>
      </c>
      <c r="AP29" s="169">
        <v>1.3406</v>
      </c>
    </row>
    <row r="30" spans="2:51" x14ac:dyDescent="0.3">
      <c r="B30" s="5" t="s">
        <v>163</v>
      </c>
      <c r="G30" s="151" cm="1">
        <f t="array" ref="G30:N32">_xldudf_WISE($C$2,$B30:$B32,G$4:N$4)</f>
        <v>0.21186798300000001</v>
      </c>
      <c r="H30" s="151">
        <v>0.210924209</v>
      </c>
      <c r="I30" s="151">
        <v>0.224142021</v>
      </c>
      <c r="J30" s="151">
        <v>0.21238094499999999</v>
      </c>
      <c r="K30" s="151">
        <v>0.20913611300000001</v>
      </c>
      <c r="L30" s="151">
        <v>0.25881793400000003</v>
      </c>
      <c r="M30" s="151">
        <v>0.25309640700000002</v>
      </c>
      <c r="N30" s="152">
        <v>0.25306234300000002</v>
      </c>
      <c r="P30" s="5" t="s">
        <v>103</v>
      </c>
      <c r="U30" s="167">
        <v>0.90747685219999996</v>
      </c>
      <c r="V30" s="167">
        <v>1.2458174979000001</v>
      </c>
      <c r="W30" s="167">
        <v>1.0175079842999999</v>
      </c>
      <c r="X30" s="167">
        <v>0.72322257509999999</v>
      </c>
      <c r="Y30" s="167">
        <v>1.0400148112000001</v>
      </c>
      <c r="Z30" s="167">
        <v>0.82495777029999995</v>
      </c>
      <c r="AA30" s="167">
        <v>0.81745256799999999</v>
      </c>
      <c r="AB30" s="200">
        <v>0.72735083749999996</v>
      </c>
      <c r="AD30" s="5" t="s">
        <v>271</v>
      </c>
      <c r="AI30" s="168">
        <v>0</v>
      </c>
      <c r="AJ30" s="168">
        <v>5.4371</v>
      </c>
      <c r="AK30" s="168">
        <v>0.6966</v>
      </c>
      <c r="AL30" s="168">
        <v>0.6724</v>
      </c>
      <c r="AM30" s="168">
        <v>0.61539999999999995</v>
      </c>
      <c r="AN30" s="168">
        <v>0.56010000000000004</v>
      </c>
      <c r="AO30" s="168">
        <v>0.49580000000000002</v>
      </c>
      <c r="AP30" s="169">
        <v>0.3795</v>
      </c>
    </row>
    <row r="31" spans="2:51" x14ac:dyDescent="0.3">
      <c r="B31" s="5" t="s">
        <v>86</v>
      </c>
      <c r="G31" s="165">
        <v>2.09</v>
      </c>
      <c r="H31" s="165">
        <v>2.3199999999999998</v>
      </c>
      <c r="I31" s="165">
        <v>3</v>
      </c>
      <c r="J31" s="165">
        <v>2.99</v>
      </c>
      <c r="K31" s="165">
        <v>3.31</v>
      </c>
      <c r="L31" s="165">
        <v>5.67</v>
      </c>
      <c r="M31" s="165">
        <v>6.15</v>
      </c>
      <c r="N31" s="166">
        <v>6.16</v>
      </c>
      <c r="P31" s="5" t="s">
        <v>105</v>
      </c>
      <c r="U31" s="167">
        <v>1.3526694175</v>
      </c>
      <c r="V31" s="167">
        <v>1.2760628484000001</v>
      </c>
      <c r="W31" s="167">
        <v>1.1329261876000001</v>
      </c>
      <c r="X31" s="167">
        <v>1.5401256172</v>
      </c>
      <c r="Y31" s="167">
        <v>1.3636044482</v>
      </c>
      <c r="Z31" s="167">
        <v>1.0745531196</v>
      </c>
      <c r="AA31" s="167">
        <v>0.87935602859999995</v>
      </c>
      <c r="AB31" s="200">
        <v>0.98801167180000005</v>
      </c>
      <c r="AD31" s="5" t="s">
        <v>272</v>
      </c>
      <c r="AI31" s="168">
        <v>0.36170000000000002</v>
      </c>
      <c r="AJ31" s="168">
        <v>0.3387</v>
      </c>
      <c r="AK31" s="168">
        <v>0.37709999999999999</v>
      </c>
      <c r="AL31" s="168">
        <v>0.37669999999999998</v>
      </c>
      <c r="AM31" s="168">
        <v>0.32619999999999999</v>
      </c>
      <c r="AN31" s="168">
        <v>0.25219999999999998</v>
      </c>
      <c r="AO31" s="168">
        <v>0.1973</v>
      </c>
      <c r="AP31" s="169">
        <v>0.17599999999999999</v>
      </c>
    </row>
    <row r="32" spans="2:51" x14ac:dyDescent="0.3">
      <c r="B32" s="5" t="s">
        <v>164</v>
      </c>
      <c r="G32" s="165">
        <v>2.08</v>
      </c>
      <c r="H32" s="165">
        <v>2.2999999999999998</v>
      </c>
      <c r="I32" s="165">
        <v>2.98</v>
      </c>
      <c r="J32" s="165">
        <v>2.97</v>
      </c>
      <c r="K32" s="165">
        <v>3.28</v>
      </c>
      <c r="L32" s="165">
        <v>5.61</v>
      </c>
      <c r="M32" s="165">
        <v>6.11</v>
      </c>
      <c r="N32" s="166">
        <v>6.13</v>
      </c>
      <c r="P32" s="5" t="s">
        <v>107</v>
      </c>
      <c r="U32" s="167">
        <v>41.225274725299997</v>
      </c>
      <c r="V32" s="167">
        <v>26.407232027599999</v>
      </c>
      <c r="W32" s="167">
        <v>21.882098765399999</v>
      </c>
      <c r="X32" s="167">
        <v>17.877516778499999</v>
      </c>
      <c r="Y32" s="167">
        <v>23.0727462583</v>
      </c>
      <c r="Z32" s="167">
        <v>41.190548204199999</v>
      </c>
      <c r="AA32" s="167">
        <v>40.749573524399999</v>
      </c>
      <c r="AB32" s="200">
        <v>29.062039155899999</v>
      </c>
      <c r="AD32" s="5" t="s">
        <v>273</v>
      </c>
      <c r="AI32" s="168">
        <v>-3.44E-2</v>
      </c>
      <c r="AJ32" s="168">
        <v>0.21759999999999999</v>
      </c>
      <c r="AK32" s="168">
        <v>0.37340000000000001</v>
      </c>
      <c r="AL32" s="168">
        <v>-6.5100000000000005E-2</v>
      </c>
      <c r="AM32" s="168">
        <v>-0.1825</v>
      </c>
      <c r="AN32" s="168">
        <v>0.3755</v>
      </c>
      <c r="AO32" s="168">
        <v>0.183</v>
      </c>
      <c r="AP32" s="169">
        <v>8.9999999999999998E-4</v>
      </c>
    </row>
    <row r="33" spans="2:42" x14ac:dyDescent="0.3">
      <c r="B33" s="5" t="s">
        <v>129</v>
      </c>
      <c r="G33" s="155" cm="1">
        <f t="array" ref="G33:N34">_xldudf_WISE($C$2,$B33:$B34,G$4:N$4)/1000000</f>
        <v>21883.279999999999</v>
      </c>
      <c r="H33" s="155">
        <v>20868.968000000001</v>
      </c>
      <c r="I33" s="155">
        <v>19821.508000000002</v>
      </c>
      <c r="J33" s="155">
        <v>18471.335999999999</v>
      </c>
      <c r="K33" s="155">
        <v>17352.118999999999</v>
      </c>
      <c r="L33" s="155">
        <v>16701.272000000001</v>
      </c>
      <c r="M33" s="155">
        <v>16215.963</v>
      </c>
      <c r="N33" s="156">
        <v>15744.231</v>
      </c>
      <c r="P33" s="5" t="s">
        <v>109</v>
      </c>
      <c r="U33" s="167">
        <v>1.4496683958000001</v>
      </c>
      <c r="V33" s="167">
        <v>1.3283075841</v>
      </c>
      <c r="W33" s="167">
        <v>1.3007340713</v>
      </c>
      <c r="X33" s="167">
        <v>1.2558093239000001</v>
      </c>
      <c r="Y33" s="167">
        <v>1.4052010938999999</v>
      </c>
      <c r="Z33" s="167">
        <v>1.0988381918000001</v>
      </c>
      <c r="AA33" s="167">
        <v>1.2239211245999999</v>
      </c>
      <c r="AB33" s="200">
        <v>1.139677303</v>
      </c>
      <c r="AD33" s="5" t="s">
        <v>274</v>
      </c>
      <c r="AI33" s="168">
        <v>0.1079</v>
      </c>
      <c r="AJ33" s="168">
        <v>0.16669999999999999</v>
      </c>
      <c r="AK33" s="168">
        <v>-2.5600000000000001E-2</v>
      </c>
      <c r="AL33" s="168">
        <v>-7.4399999999999994E-2</v>
      </c>
      <c r="AM33" s="168">
        <v>-4.3200000000000002E-2</v>
      </c>
      <c r="AN33" s="168">
        <v>8.3699999999999997E-2</v>
      </c>
      <c r="AO33" s="168">
        <v>5.0000000000000001E-3</v>
      </c>
      <c r="AP33" s="169">
        <v>-5.0000000000000001E-4</v>
      </c>
    </row>
    <row r="34" spans="2:42" x14ac:dyDescent="0.3">
      <c r="B34" s="13" t="s">
        <v>143</v>
      </c>
      <c r="C34" s="14"/>
      <c r="D34" s="14"/>
      <c r="E34" s="14"/>
      <c r="F34" s="14"/>
      <c r="G34" s="159">
        <v>22001.124</v>
      </c>
      <c r="H34" s="159">
        <v>21006.768</v>
      </c>
      <c r="I34" s="159">
        <v>20000.436000000002</v>
      </c>
      <c r="J34" s="159">
        <v>18595.651999999998</v>
      </c>
      <c r="K34" s="159">
        <v>17528.214</v>
      </c>
      <c r="L34" s="159">
        <v>16864.919000000002</v>
      </c>
      <c r="M34" s="159">
        <v>16325.819</v>
      </c>
      <c r="N34" s="160">
        <v>15812.547</v>
      </c>
      <c r="P34" s="5" t="s">
        <v>127</v>
      </c>
      <c r="U34" s="167">
        <v>1.9702569699999999E-2</v>
      </c>
      <c r="V34" s="167">
        <v>1.5880234300000001E-2</v>
      </c>
      <c r="W34" s="167">
        <v>1.2256800199999999E-2</v>
      </c>
      <c r="X34" s="167">
        <v>1.39713675E-2</v>
      </c>
      <c r="Y34" s="167">
        <v>7.2273414999999997E-3</v>
      </c>
      <c r="Z34" s="167">
        <v>5.8958715000000002E-3</v>
      </c>
      <c r="AA34" s="167">
        <v>6.0839546000000001E-3</v>
      </c>
      <c r="AB34" s="200">
        <v>5.5739607E-3</v>
      </c>
      <c r="AD34" s="5" t="s">
        <v>275</v>
      </c>
      <c r="AI34" s="168">
        <v>-9.2399999999999996E-2</v>
      </c>
      <c r="AJ34" s="168">
        <v>1.2771999999999999</v>
      </c>
      <c r="AK34" s="168">
        <v>-0.1852</v>
      </c>
      <c r="AL34" s="168">
        <v>3.7900000000000003E-2</v>
      </c>
      <c r="AM34" s="168">
        <v>-1.0999999999999999E-2</v>
      </c>
      <c r="AN34" s="168">
        <v>0.62029999999999996</v>
      </c>
      <c r="AO34" s="168">
        <v>-0.24829999999999999</v>
      </c>
      <c r="AP34" s="169">
        <v>0.28000000000000003</v>
      </c>
    </row>
    <row r="35" spans="2:42" x14ac:dyDescent="0.3">
      <c r="G35" s="155"/>
      <c r="H35" s="155"/>
      <c r="I35" s="155"/>
      <c r="J35" s="155"/>
      <c r="K35" s="155"/>
      <c r="L35" s="155"/>
      <c r="M35" s="155"/>
      <c r="N35" s="155"/>
      <c r="P35" s="5" t="s">
        <v>230</v>
      </c>
      <c r="U35" s="167">
        <v>0.26593998289999998</v>
      </c>
      <c r="V35" s="167">
        <v>0.26408967760000002</v>
      </c>
      <c r="W35" s="167">
        <v>0.23033377569999999</v>
      </c>
      <c r="X35" s="167">
        <v>0.25551976259999998</v>
      </c>
      <c r="Y35" s="167">
        <v>0.24526658649999999</v>
      </c>
      <c r="Z35" s="167">
        <v>0.15279890160000001</v>
      </c>
      <c r="AA35" s="167">
        <v>0.14870294479999999</v>
      </c>
      <c r="AB35" s="200">
        <v>0.15490489199999999</v>
      </c>
      <c r="AD35" s="5" t="s">
        <v>276</v>
      </c>
      <c r="AI35" s="168">
        <v>0.13</v>
      </c>
      <c r="AJ35" s="168">
        <v>9.6000000000000002E-2</v>
      </c>
      <c r="AK35" s="168">
        <v>-0.15840000000000001</v>
      </c>
      <c r="AL35" s="168">
        <v>-9.3700000000000006E-2</v>
      </c>
      <c r="AM35" s="168">
        <v>-0.23139999999999999</v>
      </c>
      <c r="AN35" s="168">
        <v>3.2000000000000002E-3</v>
      </c>
      <c r="AO35" s="168">
        <v>-0.17280000000000001</v>
      </c>
      <c r="AP35" s="169">
        <v>0.26319999999999999</v>
      </c>
    </row>
    <row r="36" spans="2:42" x14ac:dyDescent="0.3">
      <c r="B36" s="3" t="s">
        <v>223</v>
      </c>
      <c r="C36" s="4"/>
      <c r="D36" s="4"/>
      <c r="E36" s="4"/>
      <c r="F36" s="4"/>
      <c r="G36" s="4">
        <f t="shared" ref="G36:M36" si="3">G4</f>
        <v>2016</v>
      </c>
      <c r="H36" s="4">
        <f t="shared" si="3"/>
        <v>2017</v>
      </c>
      <c r="I36" s="4">
        <f t="shared" si="3"/>
        <v>2018</v>
      </c>
      <c r="J36" s="4">
        <f t="shared" si="3"/>
        <v>2019</v>
      </c>
      <c r="K36" s="4">
        <f t="shared" si="3"/>
        <v>2020</v>
      </c>
      <c r="L36" s="4">
        <f t="shared" si="3"/>
        <v>2021</v>
      </c>
      <c r="M36" s="4">
        <f t="shared" si="3"/>
        <v>2022</v>
      </c>
      <c r="N36" s="4">
        <f>N4</f>
        <v>2023</v>
      </c>
      <c r="P36" s="5" t="s">
        <v>231</v>
      </c>
      <c r="U36" s="167">
        <v>6.5822972699999996E-2</v>
      </c>
      <c r="V36" s="167">
        <v>6.65738939E-2</v>
      </c>
      <c r="W36" s="167">
        <v>6.2896515400000005E-2</v>
      </c>
      <c r="X36" s="167">
        <v>7.0126146299999997E-2</v>
      </c>
      <c r="Y36" s="167">
        <v>7.2549769599999994E-2</v>
      </c>
      <c r="Z36" s="167">
        <v>6.00655519E-2</v>
      </c>
      <c r="AA36" s="167">
        <v>6.3637377999999994E-2</v>
      </c>
      <c r="AB36" s="200">
        <v>6.5048201700000002E-2</v>
      </c>
      <c r="AD36" s="5" t="s">
        <v>277</v>
      </c>
      <c r="AI36" s="168">
        <v>0.35289999999999999</v>
      </c>
      <c r="AJ36" s="168">
        <v>0.32919999999999999</v>
      </c>
      <c r="AK36" s="168">
        <v>-1.03E-2</v>
      </c>
      <c r="AL36" s="168">
        <v>-5.62E-2</v>
      </c>
      <c r="AM36" s="168">
        <v>0.13170000000000001</v>
      </c>
      <c r="AN36" s="168">
        <v>0.11650000000000001</v>
      </c>
      <c r="AO36" s="168">
        <v>-2.9600000000000001E-2</v>
      </c>
      <c r="AP36" s="169">
        <v>-6.4500000000000002E-2</v>
      </c>
    </row>
    <row r="37" spans="2:42" x14ac:dyDescent="0.3">
      <c r="B37" s="5" t="s">
        <v>150</v>
      </c>
      <c r="G37" s="155"/>
      <c r="H37" s="155"/>
      <c r="I37" s="155"/>
      <c r="J37" s="155"/>
      <c r="K37" s="155"/>
      <c r="L37" s="155"/>
      <c r="M37" s="155"/>
      <c r="N37" s="156"/>
      <c r="P37" s="5" t="s">
        <v>232</v>
      </c>
      <c r="U37" s="167">
        <v>4.6582482799999998E-2</v>
      </c>
      <c r="V37" s="167">
        <v>5.0520428899999997E-2</v>
      </c>
      <c r="W37" s="167">
        <v>5.3600406599999997E-2</v>
      </c>
      <c r="X37" s="167">
        <v>6.2331362899999999E-2</v>
      </c>
      <c r="Y37" s="167">
        <v>6.8309564099999998E-2</v>
      </c>
      <c r="Z37" s="167">
        <v>5.9904269099999997E-2</v>
      </c>
      <c r="AA37" s="167">
        <v>6.6571483599999995E-2</v>
      </c>
      <c r="AB37" s="200">
        <v>7.80489714E-2</v>
      </c>
      <c r="AD37" s="5" t="s">
        <v>278</v>
      </c>
      <c r="AI37" s="168">
        <v>0.2452</v>
      </c>
      <c r="AJ37" s="168">
        <v>0.15290000000000001</v>
      </c>
      <c r="AK37" s="168">
        <v>0.2293</v>
      </c>
      <c r="AL37" s="168">
        <v>0.13919999999999999</v>
      </c>
      <c r="AM37" s="168">
        <v>0.15629999999999999</v>
      </c>
      <c r="AN37" s="168">
        <v>0.1686</v>
      </c>
      <c r="AO37" s="168">
        <v>0.19789999999999999</v>
      </c>
      <c r="AP37" s="169">
        <v>0.1396</v>
      </c>
    </row>
    <row r="38" spans="2:42" x14ac:dyDescent="0.3">
      <c r="B38" s="5" t="s">
        <v>100</v>
      </c>
      <c r="G38" s="155" cm="1">
        <f t="array" ref="G38:N44">_xldudf_WISE($C$2,$B38:$B44,G$4:N$4)/1000000</f>
        <v>20484</v>
      </c>
      <c r="H38" s="155">
        <v>20289</v>
      </c>
      <c r="I38" s="155">
        <v>25913</v>
      </c>
      <c r="J38" s="155">
        <v>48844</v>
      </c>
      <c r="K38" s="155">
        <v>38016</v>
      </c>
      <c r="L38" s="155">
        <v>34940</v>
      </c>
      <c r="M38" s="155">
        <v>23646</v>
      </c>
      <c r="N38" s="156">
        <v>29965</v>
      </c>
      <c r="P38" s="5" t="s">
        <v>115</v>
      </c>
      <c r="U38" s="167">
        <v>2.6796316899999999E-2</v>
      </c>
      <c r="V38" s="167">
        <v>2.13551672E-2</v>
      </c>
      <c r="W38" s="167">
        <v>0</v>
      </c>
      <c r="X38" s="167">
        <v>0</v>
      </c>
      <c r="Y38" s="167">
        <v>0</v>
      </c>
      <c r="Z38" s="167">
        <v>0</v>
      </c>
      <c r="AA38" s="167">
        <v>0</v>
      </c>
      <c r="AB38" s="200">
        <v>0</v>
      </c>
      <c r="AD38" s="13" t="s">
        <v>279</v>
      </c>
      <c r="AE38" s="14"/>
      <c r="AF38" s="14"/>
      <c r="AG38" s="14"/>
      <c r="AH38" s="14"/>
      <c r="AI38" s="170">
        <v>-9.4000000000000004E-3</v>
      </c>
      <c r="AJ38" s="170">
        <v>7.5200000000000003E-2</v>
      </c>
      <c r="AK38" s="170">
        <v>9.4600000000000004E-2</v>
      </c>
      <c r="AL38" s="170">
        <v>9.2200000000000004E-2</v>
      </c>
      <c r="AM38" s="170">
        <v>9.1600000000000001E-2</v>
      </c>
      <c r="AN38" s="170">
        <v>0.1033</v>
      </c>
      <c r="AO38" s="170">
        <v>0.14199999999999999</v>
      </c>
      <c r="AP38" s="171">
        <v>-6.4999999999999997E-3</v>
      </c>
    </row>
    <row r="39" spans="2:42" x14ac:dyDescent="0.3">
      <c r="B39" s="5" t="s">
        <v>165</v>
      </c>
      <c r="G39" s="155">
        <v>46671</v>
      </c>
      <c r="H39" s="155">
        <v>53892</v>
      </c>
      <c r="I39" s="155">
        <v>40388</v>
      </c>
      <c r="J39" s="155">
        <v>51713</v>
      </c>
      <c r="K39" s="155">
        <v>52927</v>
      </c>
      <c r="L39" s="155">
        <v>27699</v>
      </c>
      <c r="M39" s="155">
        <v>24658</v>
      </c>
      <c r="N39" s="156">
        <v>31590</v>
      </c>
      <c r="P39" s="5" t="s">
        <v>117</v>
      </c>
      <c r="U39" s="167">
        <v>0.20455677850000001</v>
      </c>
      <c r="V39" s="167">
        <v>0.199221487</v>
      </c>
      <c r="W39" s="167">
        <v>0.17192706050000001</v>
      </c>
      <c r="X39" s="167">
        <v>0.15124439770000001</v>
      </c>
      <c r="Y39" s="167">
        <v>9.0599201700000007E-2</v>
      </c>
      <c r="Z39" s="167">
        <v>0.1065476076</v>
      </c>
      <c r="AA39" s="167">
        <v>8.7661992100000002E-2</v>
      </c>
      <c r="AB39" s="200">
        <v>9.9137892000000005E-2</v>
      </c>
    </row>
    <row r="40" spans="2:42" x14ac:dyDescent="0.3">
      <c r="B40" s="5" t="s">
        <v>166</v>
      </c>
      <c r="G40" s="155">
        <v>67155</v>
      </c>
      <c r="H40" s="155">
        <v>74181</v>
      </c>
      <c r="I40" s="155">
        <v>66301</v>
      </c>
      <c r="J40" s="155">
        <v>100557</v>
      </c>
      <c r="K40" s="155">
        <v>90943</v>
      </c>
      <c r="L40" s="155">
        <v>62639</v>
      </c>
      <c r="M40" s="155">
        <v>48304</v>
      </c>
      <c r="N40" s="156">
        <v>61555</v>
      </c>
      <c r="P40" s="5" t="s">
        <v>118</v>
      </c>
      <c r="U40" s="167">
        <v>6.2827225099999995E-2</v>
      </c>
      <c r="V40" s="167">
        <v>5.5816327399999997E-2</v>
      </c>
      <c r="W40" s="167">
        <v>5.0125190600000001E-2</v>
      </c>
      <c r="X40" s="167">
        <v>4.0338388900000001E-2</v>
      </c>
      <c r="Y40" s="167">
        <v>2.6625138900000001E-2</v>
      </c>
      <c r="Z40" s="167">
        <v>3.0302036300000001E-2</v>
      </c>
      <c r="AA40" s="167">
        <v>2.7155058700000002E-2</v>
      </c>
      <c r="AB40" s="200">
        <v>2.8592300800000001E-2</v>
      </c>
    </row>
    <row r="41" spans="2:42" x14ac:dyDescent="0.3">
      <c r="B41" s="5" t="s">
        <v>167</v>
      </c>
      <c r="G41" s="155">
        <v>29299</v>
      </c>
      <c r="H41" s="155">
        <v>35673</v>
      </c>
      <c r="I41" s="155">
        <v>48995</v>
      </c>
      <c r="J41" s="155">
        <v>45804</v>
      </c>
      <c r="K41" s="155">
        <v>37445</v>
      </c>
      <c r="L41" s="155">
        <v>51506</v>
      </c>
      <c r="M41" s="155">
        <v>60932</v>
      </c>
      <c r="N41" s="156">
        <v>60985</v>
      </c>
      <c r="P41" s="5" t="s">
        <v>233</v>
      </c>
      <c r="U41" s="167">
        <v>1.289671585</v>
      </c>
      <c r="V41" s="167">
        <v>1.259722359</v>
      </c>
      <c r="W41" s="167">
        <v>1.2210400806999999</v>
      </c>
      <c r="X41" s="167">
        <v>0.8364549295</v>
      </c>
      <c r="Y41" s="167">
        <v>0.66108900140000004</v>
      </c>
      <c r="Z41" s="167">
        <v>0.98236440979999995</v>
      </c>
      <c r="AA41" s="167">
        <v>0.9643371758</v>
      </c>
      <c r="AB41" s="200">
        <v>0.95138466880000006</v>
      </c>
    </row>
    <row r="42" spans="2:42" x14ac:dyDescent="0.3">
      <c r="B42" s="5" t="s">
        <v>168</v>
      </c>
      <c r="G42" s="155">
        <v>2132</v>
      </c>
      <c r="H42" s="155">
        <v>4855</v>
      </c>
      <c r="I42" s="155">
        <v>3956</v>
      </c>
      <c r="J42" s="155">
        <v>4106</v>
      </c>
      <c r="K42" s="155">
        <v>4061</v>
      </c>
      <c r="L42" s="155">
        <v>6580</v>
      </c>
      <c r="M42" s="155">
        <v>4946</v>
      </c>
      <c r="N42" s="156">
        <v>6331</v>
      </c>
      <c r="P42" s="5" t="s">
        <v>234</v>
      </c>
      <c r="U42" s="167">
        <v>1.95233701E-2</v>
      </c>
      <c r="V42" s="167">
        <v>2.1113796399999999E-2</v>
      </c>
      <c r="W42" s="167">
        <v>2.0105800199999999E-2</v>
      </c>
      <c r="X42" s="167">
        <v>2.33228532E-2</v>
      </c>
      <c r="Y42" s="167">
        <v>2.48766006E-2</v>
      </c>
      <c r="Z42" s="167">
        <v>2.1611898800000001E-2</v>
      </c>
      <c r="AA42" s="167">
        <v>2.2920005699999999E-2</v>
      </c>
      <c r="AB42" s="200">
        <v>2.8263563700000001E-2</v>
      </c>
    </row>
    <row r="43" spans="2:42" x14ac:dyDescent="0.3">
      <c r="B43" s="5" t="s">
        <v>169</v>
      </c>
      <c r="G43" s="155">
        <v>8283</v>
      </c>
      <c r="H43" s="155">
        <v>13936</v>
      </c>
      <c r="I43" s="155">
        <v>12087</v>
      </c>
      <c r="J43" s="155">
        <v>12352</v>
      </c>
      <c r="K43" s="155">
        <v>11264</v>
      </c>
      <c r="L43" s="155">
        <v>14111</v>
      </c>
      <c r="M43" s="155">
        <v>21223</v>
      </c>
      <c r="N43" s="156">
        <v>14695</v>
      </c>
      <c r="P43" s="5" t="s">
        <v>235</v>
      </c>
      <c r="U43" s="167">
        <v>16.5921305522</v>
      </c>
      <c r="V43" s="167">
        <v>18.298755977700001</v>
      </c>
      <c r="W43" s="167">
        <v>19.112441265800001</v>
      </c>
      <c r="X43" s="167">
        <v>18.158424594500001</v>
      </c>
      <c r="Y43" s="167">
        <v>16.742586029000002</v>
      </c>
      <c r="Z43" s="167">
        <v>21.950837680900001</v>
      </c>
      <c r="AA43" s="167">
        <v>20.801963754900001</v>
      </c>
      <c r="AB43" s="200">
        <v>23.391122856300001</v>
      </c>
    </row>
    <row r="44" spans="2:42" x14ac:dyDescent="0.3">
      <c r="B44" s="153" t="s">
        <v>170</v>
      </c>
      <c r="C44" s="150"/>
      <c r="D44" s="150"/>
      <c r="E44" s="150"/>
      <c r="F44" s="150"/>
      <c r="G44" s="163">
        <v>106869</v>
      </c>
      <c r="H44" s="163">
        <v>128645</v>
      </c>
      <c r="I44" s="163">
        <v>131339</v>
      </c>
      <c r="J44" s="163">
        <v>162819</v>
      </c>
      <c r="K44" s="163">
        <v>143713</v>
      </c>
      <c r="L44" s="163">
        <v>134836</v>
      </c>
      <c r="M44" s="163">
        <v>135405</v>
      </c>
      <c r="N44" s="164">
        <v>143566</v>
      </c>
      <c r="P44" s="5" t="s">
        <v>119</v>
      </c>
      <c r="U44" s="167">
        <v>0.17572216930000001</v>
      </c>
      <c r="V44" s="167">
        <v>0.15796433609999999</v>
      </c>
      <c r="W44" s="167">
        <v>0.2139901854</v>
      </c>
      <c r="X44" s="167">
        <v>0.21577873710000001</v>
      </c>
      <c r="Y44" s="167">
        <v>0.2426948686</v>
      </c>
      <c r="Z44" s="167">
        <v>0.38925056180000001</v>
      </c>
      <c r="AA44" s="167">
        <v>0.45174761489999998</v>
      </c>
      <c r="AB44" s="200">
        <v>0.43389182920000002</v>
      </c>
    </row>
    <row r="45" spans="2:42" x14ac:dyDescent="0.3">
      <c r="B45" s="5"/>
      <c r="G45" s="155"/>
      <c r="H45" s="155"/>
      <c r="I45" s="155"/>
      <c r="J45" s="155"/>
      <c r="K45" s="155"/>
      <c r="L45" s="155"/>
      <c r="M45" s="155"/>
      <c r="N45" s="156"/>
      <c r="P45" s="5" t="s">
        <v>121</v>
      </c>
      <c r="U45" s="167">
        <v>0.14593408420000001</v>
      </c>
      <c r="V45" s="167">
        <v>0.13163755360000001</v>
      </c>
      <c r="W45" s="167">
        <v>0.1627753093</v>
      </c>
      <c r="X45" s="167">
        <v>0.1632300984</v>
      </c>
      <c r="Y45" s="167">
        <v>0.17725571800000001</v>
      </c>
      <c r="Z45" s="167">
        <v>0.26974205280000002</v>
      </c>
      <c r="AA45" s="167">
        <v>0.28292440930000001</v>
      </c>
      <c r="AB45" s="200">
        <v>0.27509834560000002</v>
      </c>
    </row>
    <row r="46" spans="2:42" x14ac:dyDescent="0.3">
      <c r="B46" s="5" t="s">
        <v>171</v>
      </c>
      <c r="G46" s="155" cm="1">
        <f t="array" ref="G46:N52">_xldudf_WISE($C$2,$B46:$B52,G$4:N$4)/1000000</f>
        <v>27010</v>
      </c>
      <c r="H46" s="155">
        <v>33783</v>
      </c>
      <c r="I46" s="155">
        <v>41304</v>
      </c>
      <c r="J46" s="155">
        <v>37378</v>
      </c>
      <c r="K46" s="155">
        <v>45336</v>
      </c>
      <c r="L46" s="155">
        <v>49527</v>
      </c>
      <c r="M46" s="155">
        <v>52534</v>
      </c>
      <c r="N46" s="156">
        <v>54376</v>
      </c>
      <c r="P46" s="5" t="s">
        <v>124</v>
      </c>
      <c r="U46" s="167">
        <v>-4.7178370883999996</v>
      </c>
      <c r="V46" s="167">
        <v>-6.6083167121999997</v>
      </c>
      <c r="W46" s="167">
        <v>-7.7467743625000001</v>
      </c>
      <c r="X46" s="167">
        <v>-6.0128298244999998</v>
      </c>
      <c r="Y46" s="167">
        <v>-7.9236288087000002</v>
      </c>
      <c r="Z46" s="167">
        <v>-10.9784152968</v>
      </c>
      <c r="AA46" s="167">
        <v>-12.679296320500001</v>
      </c>
      <c r="AB46" s="200">
        <v>-11.431345868799999</v>
      </c>
    </row>
    <row r="47" spans="2:42" x14ac:dyDescent="0.3">
      <c r="B47" s="5" t="s">
        <v>172</v>
      </c>
      <c r="G47" s="155">
        <v>5414</v>
      </c>
      <c r="H47" s="155">
        <v>5717</v>
      </c>
      <c r="I47" s="155">
        <v>0</v>
      </c>
      <c r="J47" s="155">
        <v>0</v>
      </c>
      <c r="K47" s="155">
        <v>0</v>
      </c>
      <c r="L47" s="155">
        <v>0</v>
      </c>
      <c r="M47" s="155">
        <v>0</v>
      </c>
      <c r="N47" s="156">
        <v>0</v>
      </c>
      <c r="P47" s="5" t="s">
        <v>236</v>
      </c>
      <c r="U47" s="167">
        <v>27863000000</v>
      </c>
      <c r="V47" s="167">
        <v>27831000000</v>
      </c>
      <c r="W47" s="167">
        <v>15410000000</v>
      </c>
      <c r="X47" s="167">
        <v>57101000000</v>
      </c>
      <c r="Y47" s="167">
        <v>38321000000</v>
      </c>
      <c r="Z47" s="167">
        <v>9355000000</v>
      </c>
      <c r="AA47" s="167">
        <v>-18577000000</v>
      </c>
      <c r="AB47" s="200">
        <v>-1742000000</v>
      </c>
    </row>
    <row r="48" spans="2:42" x14ac:dyDescent="0.3">
      <c r="B48" s="5" t="s">
        <v>173</v>
      </c>
      <c r="G48" s="155">
        <v>3206</v>
      </c>
      <c r="H48" s="155">
        <v>2298</v>
      </c>
      <c r="I48" s="155">
        <v>0</v>
      </c>
      <c r="J48" s="155">
        <v>0</v>
      </c>
      <c r="K48" s="155">
        <v>0</v>
      </c>
      <c r="L48" s="155">
        <v>0</v>
      </c>
      <c r="M48" s="155">
        <v>0</v>
      </c>
      <c r="N48" s="156">
        <v>0</v>
      </c>
      <c r="P48" s="5" t="s">
        <v>237</v>
      </c>
      <c r="U48" s="167">
        <v>119629000000</v>
      </c>
      <c r="V48" s="167">
        <v>126032000000</v>
      </c>
      <c r="W48" s="167">
        <v>107147000000</v>
      </c>
      <c r="X48" s="167">
        <v>90488000000</v>
      </c>
      <c r="Y48" s="167">
        <v>65339000000</v>
      </c>
      <c r="Z48" s="167">
        <v>63090000000</v>
      </c>
      <c r="AA48" s="167">
        <v>50672000000</v>
      </c>
      <c r="AB48" s="200">
        <v>62146000000</v>
      </c>
    </row>
    <row r="49" spans="2:28" x14ac:dyDescent="0.3">
      <c r="B49" s="5" t="s">
        <v>174</v>
      </c>
      <c r="G49" s="155">
        <v>170430</v>
      </c>
      <c r="H49" s="155">
        <v>194714</v>
      </c>
      <c r="I49" s="155">
        <v>170799</v>
      </c>
      <c r="J49" s="155">
        <v>105341</v>
      </c>
      <c r="K49" s="155">
        <v>100887</v>
      </c>
      <c r="L49" s="155">
        <v>127877</v>
      </c>
      <c r="M49" s="155">
        <v>120805</v>
      </c>
      <c r="N49" s="156">
        <v>100544</v>
      </c>
      <c r="P49" s="5" t="s">
        <v>238</v>
      </c>
      <c r="U49" s="167">
        <v>-86568000000</v>
      </c>
      <c r="V49" s="167">
        <v>-112627000000</v>
      </c>
      <c r="W49" s="167">
        <v>-127239000000</v>
      </c>
      <c r="X49" s="167">
        <v>-85209000000</v>
      </c>
      <c r="Y49" s="167">
        <v>-114836000000</v>
      </c>
      <c r="Z49" s="167">
        <v>-153076000000</v>
      </c>
      <c r="AA49" s="167">
        <v>-166678000000</v>
      </c>
      <c r="AB49" s="200">
        <v>-146871000000</v>
      </c>
    </row>
    <row r="50" spans="2:28" x14ac:dyDescent="0.3">
      <c r="B50" s="5" t="s">
        <v>175</v>
      </c>
      <c r="G50" s="155">
        <v>0</v>
      </c>
      <c r="H50" s="155">
        <v>-8015</v>
      </c>
      <c r="I50" s="155">
        <v>0</v>
      </c>
      <c r="J50" s="155">
        <v>0</v>
      </c>
      <c r="K50" s="155">
        <v>0</v>
      </c>
      <c r="L50" s="155">
        <v>0</v>
      </c>
      <c r="M50" s="155">
        <v>15375</v>
      </c>
      <c r="N50" s="156">
        <v>17852</v>
      </c>
      <c r="P50" s="5" t="s">
        <v>239</v>
      </c>
      <c r="U50" s="167">
        <v>29821000000</v>
      </c>
      <c r="V50" s="167">
        <v>32486000000</v>
      </c>
      <c r="W50" s="167">
        <v>42334000000</v>
      </c>
      <c r="X50" s="167">
        <v>47399500000</v>
      </c>
      <c r="Y50" s="167">
        <v>41624500000</v>
      </c>
      <c r="Z50" s="167">
        <v>44475500000</v>
      </c>
      <c r="AA50" s="167">
        <v>56219000000</v>
      </c>
      <c r="AB50" s="200">
        <v>60958500000</v>
      </c>
    </row>
    <row r="51" spans="2:28" x14ac:dyDescent="0.3">
      <c r="B51" s="5" t="s">
        <v>176</v>
      </c>
      <c r="G51" s="155">
        <v>8757</v>
      </c>
      <c r="H51" s="155">
        <v>18177</v>
      </c>
      <c r="I51" s="155">
        <v>22283</v>
      </c>
      <c r="J51" s="155">
        <v>32978</v>
      </c>
      <c r="K51" s="155">
        <v>33952</v>
      </c>
      <c r="L51" s="155">
        <v>38762</v>
      </c>
      <c r="M51" s="155">
        <v>28636</v>
      </c>
      <c r="N51" s="156">
        <v>36245</v>
      </c>
      <c r="P51" s="5" t="s">
        <v>240</v>
      </c>
      <c r="U51" s="167">
        <v>36392000000</v>
      </c>
      <c r="V51" s="167">
        <v>40768000000</v>
      </c>
      <c r="W51" s="167">
        <v>50065000000</v>
      </c>
      <c r="X51" s="167">
        <v>51062000000</v>
      </c>
      <c r="Y51" s="167">
        <v>44266000000</v>
      </c>
      <c r="Z51" s="167">
        <v>48529500000</v>
      </c>
      <c r="AA51" s="167">
        <v>59439000000</v>
      </c>
      <c r="AB51" s="200">
        <v>63363000000</v>
      </c>
    </row>
    <row r="52" spans="2:28" x14ac:dyDescent="0.3">
      <c r="B52" s="153" t="s">
        <v>177</v>
      </c>
      <c r="C52" s="150"/>
      <c r="D52" s="150"/>
      <c r="E52" s="150"/>
      <c r="F52" s="150"/>
      <c r="G52" s="163">
        <v>214817</v>
      </c>
      <c r="H52" s="163">
        <v>246674</v>
      </c>
      <c r="I52" s="163">
        <v>234386</v>
      </c>
      <c r="J52" s="163">
        <v>175697</v>
      </c>
      <c r="K52" s="163">
        <v>180175</v>
      </c>
      <c r="L52" s="163">
        <v>216166</v>
      </c>
      <c r="M52" s="163">
        <v>217350</v>
      </c>
      <c r="N52" s="164">
        <v>209017</v>
      </c>
      <c r="P52" s="7" t="s">
        <v>241</v>
      </c>
      <c r="U52" s="167">
        <v>2240500000</v>
      </c>
      <c r="V52" s="167">
        <v>3493500000</v>
      </c>
      <c r="W52" s="167">
        <v>4405500000</v>
      </c>
      <c r="X52" s="167">
        <v>4031000000</v>
      </c>
      <c r="Y52" s="167">
        <v>4083500000</v>
      </c>
      <c r="Z52" s="167">
        <v>5320500000</v>
      </c>
      <c r="AA52" s="167">
        <v>5763000000</v>
      </c>
      <c r="AB52" s="200">
        <v>5638500000</v>
      </c>
    </row>
    <row r="53" spans="2:28" x14ac:dyDescent="0.3">
      <c r="B53" s="5"/>
      <c r="G53" s="155"/>
      <c r="H53" s="155"/>
      <c r="I53" s="155"/>
      <c r="J53" s="155"/>
      <c r="K53" s="155"/>
      <c r="L53" s="155"/>
      <c r="M53" s="155"/>
      <c r="N53" s="156"/>
      <c r="P53" s="5" t="s">
        <v>242</v>
      </c>
      <c r="U53" s="167">
        <v>49.592768469500001</v>
      </c>
      <c r="V53" s="167">
        <v>56.800670930099997</v>
      </c>
      <c r="W53" s="167">
        <v>67.332498729299999</v>
      </c>
      <c r="X53" s="167">
        <v>64.258765287800003</v>
      </c>
      <c r="Y53" s="167">
        <v>49.787534378799997</v>
      </c>
      <c r="Z53" s="167">
        <v>51.390968708400003</v>
      </c>
      <c r="AA53" s="167">
        <v>56.400204905599999</v>
      </c>
      <c r="AB53" s="200">
        <v>58.075648668699998</v>
      </c>
    </row>
    <row r="54" spans="2:28" x14ac:dyDescent="0.3">
      <c r="B54" s="5" t="s">
        <v>178</v>
      </c>
      <c r="G54" s="155" cm="1">
        <f t="array" ref="G54:N55">_xldudf_WISE($C$2,$B54:$B55,G$4:N$4)/1000000</f>
        <v>0</v>
      </c>
      <c r="H54" s="155">
        <v>0</v>
      </c>
      <c r="I54" s="155">
        <v>0</v>
      </c>
      <c r="J54" s="155">
        <v>0</v>
      </c>
      <c r="K54" s="155">
        <v>0</v>
      </c>
      <c r="L54" s="155">
        <v>0</v>
      </c>
      <c r="M54" s="155">
        <v>0</v>
      </c>
      <c r="N54" s="156">
        <v>0</v>
      </c>
      <c r="P54" s="5" t="s">
        <v>243</v>
      </c>
      <c r="U54" s="167">
        <v>103.6133692607</v>
      </c>
      <c r="V54" s="167">
        <v>114.48818841809999</v>
      </c>
      <c r="W54" s="167">
        <v>124.5702142212</v>
      </c>
      <c r="X54" s="167">
        <v>104.31407696780001</v>
      </c>
      <c r="Y54" s="167">
        <v>91.048189715700005</v>
      </c>
      <c r="Z54" s="167">
        <v>93.851071222300007</v>
      </c>
      <c r="AA54" s="167">
        <v>104.68527730309999</v>
      </c>
      <c r="AB54" s="200">
        <v>106.72146803210001</v>
      </c>
    </row>
    <row r="55" spans="2:28" x14ac:dyDescent="0.3">
      <c r="B55" s="22" t="s">
        <v>135</v>
      </c>
      <c r="C55" s="23"/>
      <c r="D55" s="23"/>
      <c r="E55" s="23"/>
      <c r="F55" s="23"/>
      <c r="G55" s="161">
        <v>321686</v>
      </c>
      <c r="H55" s="161">
        <v>375319</v>
      </c>
      <c r="I55" s="161">
        <v>365725</v>
      </c>
      <c r="J55" s="161">
        <v>338516</v>
      </c>
      <c r="K55" s="161">
        <v>323888</v>
      </c>
      <c r="L55" s="161">
        <v>351002</v>
      </c>
      <c r="M55" s="161">
        <v>352755</v>
      </c>
      <c r="N55" s="162">
        <v>352583</v>
      </c>
      <c r="P55" s="5" t="s">
        <v>244</v>
      </c>
      <c r="U55" s="167">
        <v>5.9233041042999997</v>
      </c>
      <c r="V55" s="167">
        <v>12.5636308207</v>
      </c>
      <c r="W55" s="167">
        <v>8.8176311097000006</v>
      </c>
      <c r="X55" s="167">
        <v>9.2636387236999997</v>
      </c>
      <c r="Y55" s="167">
        <v>8.7418833562000007</v>
      </c>
      <c r="Z55" s="167">
        <v>11.276592747700001</v>
      </c>
      <c r="AA55" s="167">
        <v>8.0756980665999993</v>
      </c>
      <c r="AB55" s="200">
        <v>10.7912924903</v>
      </c>
    </row>
    <row r="56" spans="2:28" x14ac:dyDescent="0.3">
      <c r="B56" s="5"/>
      <c r="G56" s="155"/>
      <c r="H56" s="155"/>
      <c r="I56" s="155"/>
      <c r="J56" s="155"/>
      <c r="K56" s="155"/>
      <c r="L56" s="155"/>
      <c r="M56" s="155"/>
      <c r="N56" s="156"/>
      <c r="P56" s="5" t="s">
        <v>91</v>
      </c>
      <c r="U56" s="167">
        <v>7.3599440253999999</v>
      </c>
      <c r="V56" s="167">
        <v>6.4259804334000004</v>
      </c>
      <c r="W56" s="167">
        <v>5.4208592714000003</v>
      </c>
      <c r="X56" s="167">
        <v>5.6801589380999999</v>
      </c>
      <c r="Y56" s="167">
        <v>7.3311523567999997</v>
      </c>
      <c r="Z56" s="167">
        <v>7.1024152526000002</v>
      </c>
      <c r="AA56" s="167">
        <v>6.4716076938000002</v>
      </c>
      <c r="AB56" s="200">
        <v>6.2849061245</v>
      </c>
    </row>
    <row r="57" spans="2:28" x14ac:dyDescent="0.3">
      <c r="B57" s="5" t="s">
        <v>179</v>
      </c>
      <c r="G57" s="155" cm="1">
        <f t="array" ref="G57:N62">_xldudf_WISE($C$2,$B57:$B62,G$4:N$4)/1000000</f>
        <v>37294</v>
      </c>
      <c r="H57" s="155">
        <v>44242</v>
      </c>
      <c r="I57" s="155">
        <v>55888</v>
      </c>
      <c r="J57" s="155">
        <v>46236</v>
      </c>
      <c r="K57" s="155">
        <v>42296</v>
      </c>
      <c r="L57" s="155">
        <v>54763</v>
      </c>
      <c r="M57" s="155">
        <v>64115</v>
      </c>
      <c r="N57" s="156">
        <v>62611</v>
      </c>
      <c r="P57" s="5" t="s">
        <v>93</v>
      </c>
      <c r="U57" s="167">
        <v>3.5227114281</v>
      </c>
      <c r="V57" s="167">
        <v>3.1881018037</v>
      </c>
      <c r="W57" s="167">
        <v>2.9300744345999998</v>
      </c>
      <c r="X57" s="167">
        <v>3.4990483605999998</v>
      </c>
      <c r="Y57" s="167">
        <v>4.0088660866000003</v>
      </c>
      <c r="Z57" s="167">
        <v>3.8891404780999999</v>
      </c>
      <c r="AA57" s="167">
        <v>3.4866411916</v>
      </c>
      <c r="AB57" s="200">
        <v>3.4201178707</v>
      </c>
    </row>
    <row r="58" spans="2:28" x14ac:dyDescent="0.3">
      <c r="B58" s="5" t="s">
        <v>104</v>
      </c>
      <c r="G58" s="155">
        <v>11605</v>
      </c>
      <c r="H58" s="155">
        <v>18473</v>
      </c>
      <c r="I58" s="155">
        <v>20748</v>
      </c>
      <c r="J58" s="155">
        <v>16240</v>
      </c>
      <c r="K58" s="155">
        <v>15229</v>
      </c>
      <c r="L58" s="155">
        <v>17141</v>
      </c>
      <c r="M58" s="155">
        <v>22773</v>
      </c>
      <c r="N58" s="156">
        <v>17382</v>
      </c>
      <c r="P58" s="5" t="s">
        <v>95</v>
      </c>
      <c r="U58" s="167">
        <v>61.621013133200002</v>
      </c>
      <c r="V58" s="167">
        <v>29.052111225499999</v>
      </c>
      <c r="W58" s="167">
        <v>41.394337714899997</v>
      </c>
      <c r="X58" s="167">
        <v>39.4013638578</v>
      </c>
      <c r="Y58" s="167">
        <v>41.753016498400001</v>
      </c>
      <c r="Z58" s="167">
        <v>32.367933130700003</v>
      </c>
      <c r="AA58" s="167">
        <v>45.197331176699997</v>
      </c>
      <c r="AB58" s="200">
        <v>33.823566577199998</v>
      </c>
    </row>
    <row r="59" spans="2:28" x14ac:dyDescent="0.3">
      <c r="B59" s="5" t="s">
        <v>180</v>
      </c>
      <c r="G59" s="155">
        <v>0</v>
      </c>
      <c r="H59" s="155">
        <v>0</v>
      </c>
      <c r="I59" s="155">
        <v>0</v>
      </c>
      <c r="J59" s="155">
        <v>0</v>
      </c>
      <c r="K59" s="155">
        <v>0</v>
      </c>
      <c r="L59" s="155">
        <v>0</v>
      </c>
      <c r="M59" s="155">
        <v>6552</v>
      </c>
      <c r="N59" s="156">
        <v>8819</v>
      </c>
      <c r="P59" s="5" t="s">
        <v>123</v>
      </c>
      <c r="U59" s="167">
        <v>0.3562366958</v>
      </c>
      <c r="V59" s="167">
        <v>0.3607018434</v>
      </c>
      <c r="W59" s="167">
        <v>0.55560118339999998</v>
      </c>
      <c r="X59" s="167">
        <v>0.61064450530000003</v>
      </c>
      <c r="Y59" s="167">
        <v>0.87866358529999999</v>
      </c>
      <c r="Z59" s="167">
        <v>1.5007132668000001</v>
      </c>
      <c r="AA59" s="167">
        <v>1.9695887274999999</v>
      </c>
      <c r="AB59" s="200">
        <v>1.5607601455</v>
      </c>
    </row>
    <row r="60" spans="2:28" x14ac:dyDescent="0.3">
      <c r="B60" s="5" t="s">
        <v>181</v>
      </c>
      <c r="G60" s="155">
        <v>8080</v>
      </c>
      <c r="H60" s="155">
        <v>7548</v>
      </c>
      <c r="I60" s="155">
        <v>5966</v>
      </c>
      <c r="J60" s="155">
        <v>5522</v>
      </c>
      <c r="K60" s="155">
        <v>6643</v>
      </c>
      <c r="L60" s="155">
        <v>7612</v>
      </c>
      <c r="M60" s="155">
        <v>7912</v>
      </c>
      <c r="N60" s="156">
        <v>8061</v>
      </c>
      <c r="P60" s="13" t="s">
        <v>245</v>
      </c>
      <c r="Q60" s="14"/>
      <c r="R60" s="14"/>
      <c r="S60" s="14"/>
      <c r="T60" s="14"/>
      <c r="U60" s="199">
        <v>0.61910280360000003</v>
      </c>
      <c r="V60" s="199">
        <v>0.61311129519999996</v>
      </c>
      <c r="W60" s="199">
        <v>0.6716441554</v>
      </c>
      <c r="X60" s="199">
        <v>0.56817763480000005</v>
      </c>
      <c r="Y60" s="199">
        <v>0.42121656730000001</v>
      </c>
      <c r="Z60" s="199">
        <v>0.66372190090000005</v>
      </c>
      <c r="AA60" s="199">
        <v>0.6603369778</v>
      </c>
      <c r="AB60" s="201">
        <v>0.69606448229999995</v>
      </c>
    </row>
    <row r="61" spans="2:28" x14ac:dyDescent="0.3">
      <c r="B61" s="5" t="s">
        <v>182</v>
      </c>
      <c r="G61" s="155">
        <v>22027</v>
      </c>
      <c r="H61" s="155">
        <v>30551</v>
      </c>
      <c r="I61" s="155">
        <v>33327</v>
      </c>
      <c r="J61" s="155">
        <v>37720</v>
      </c>
      <c r="K61" s="155">
        <v>41224</v>
      </c>
      <c r="L61" s="155">
        <v>45965</v>
      </c>
      <c r="M61" s="155">
        <v>52630</v>
      </c>
      <c r="N61" s="156">
        <v>48435</v>
      </c>
    </row>
    <row r="62" spans="2:28" x14ac:dyDescent="0.3">
      <c r="B62" s="153" t="s">
        <v>183</v>
      </c>
      <c r="C62" s="150"/>
      <c r="D62" s="150"/>
      <c r="E62" s="150"/>
      <c r="F62" s="150"/>
      <c r="G62" s="163">
        <v>79006</v>
      </c>
      <c r="H62" s="163">
        <v>100814</v>
      </c>
      <c r="I62" s="163">
        <v>115929</v>
      </c>
      <c r="J62" s="163">
        <v>105718</v>
      </c>
      <c r="K62" s="163">
        <v>105392</v>
      </c>
      <c r="L62" s="163">
        <v>125481</v>
      </c>
      <c r="M62" s="163">
        <v>153982</v>
      </c>
      <c r="N62" s="164">
        <v>145308</v>
      </c>
    </row>
    <row r="63" spans="2:28" x14ac:dyDescent="0.3">
      <c r="B63" s="5"/>
      <c r="G63" s="155"/>
      <c r="H63" s="155"/>
      <c r="I63" s="155"/>
      <c r="J63" s="155"/>
      <c r="K63" s="155"/>
      <c r="L63" s="155"/>
      <c r="M63" s="155"/>
      <c r="N63" s="156"/>
    </row>
    <row r="64" spans="2:28" x14ac:dyDescent="0.3">
      <c r="B64" s="5" t="s">
        <v>184</v>
      </c>
      <c r="G64" s="155" cm="1">
        <f t="array" ref="G64:N68">_xldudf_WISE($C$2,$B64:$B68,G$4:N$4)/1000000</f>
        <v>75427</v>
      </c>
      <c r="H64" s="155">
        <v>97207</v>
      </c>
      <c r="I64" s="155">
        <v>93735</v>
      </c>
      <c r="J64" s="155">
        <v>91807</v>
      </c>
      <c r="K64" s="155">
        <v>107049</v>
      </c>
      <c r="L64" s="155">
        <v>119381</v>
      </c>
      <c r="M64" s="155">
        <v>109707</v>
      </c>
      <c r="N64" s="156">
        <v>106548</v>
      </c>
    </row>
    <row r="65" spans="2:14" x14ac:dyDescent="0.3">
      <c r="B65" s="5" t="s">
        <v>185</v>
      </c>
      <c r="G65" s="155">
        <v>2930</v>
      </c>
      <c r="H65" s="155">
        <v>2836</v>
      </c>
      <c r="I65" s="155">
        <v>2797</v>
      </c>
      <c r="J65" s="155">
        <v>0</v>
      </c>
      <c r="K65" s="155">
        <v>0</v>
      </c>
      <c r="L65" s="155">
        <v>0</v>
      </c>
      <c r="M65" s="155">
        <v>0</v>
      </c>
      <c r="N65" s="156">
        <v>0</v>
      </c>
    </row>
    <row r="66" spans="2:14" x14ac:dyDescent="0.3">
      <c r="B66" s="5" t="s">
        <v>186</v>
      </c>
      <c r="G66" s="155">
        <v>26019</v>
      </c>
      <c r="H66" s="155">
        <v>31504</v>
      </c>
      <c r="I66" s="155">
        <v>426</v>
      </c>
      <c r="J66" s="155">
        <v>0</v>
      </c>
      <c r="K66" s="155">
        <v>0</v>
      </c>
      <c r="L66" s="155">
        <v>0</v>
      </c>
      <c r="M66" s="155">
        <v>0</v>
      </c>
      <c r="N66" s="156">
        <v>0</v>
      </c>
    </row>
    <row r="67" spans="2:14" x14ac:dyDescent="0.3">
      <c r="B67" s="5" t="s">
        <v>187</v>
      </c>
      <c r="G67" s="155">
        <v>10055</v>
      </c>
      <c r="H67" s="155">
        <v>8911</v>
      </c>
      <c r="I67" s="155">
        <v>45691</v>
      </c>
      <c r="J67" s="155">
        <v>50503</v>
      </c>
      <c r="K67" s="155">
        <v>46108</v>
      </c>
      <c r="L67" s="155">
        <v>43050</v>
      </c>
      <c r="M67" s="155">
        <v>38394</v>
      </c>
      <c r="N67" s="156">
        <v>38581</v>
      </c>
    </row>
    <row r="68" spans="2:14" x14ac:dyDescent="0.3">
      <c r="B68" s="153" t="s">
        <v>188</v>
      </c>
      <c r="C68" s="150"/>
      <c r="D68" s="150"/>
      <c r="E68" s="150"/>
      <c r="F68" s="150"/>
      <c r="G68" s="163">
        <v>114431</v>
      </c>
      <c r="H68" s="163">
        <v>140458</v>
      </c>
      <c r="I68" s="163">
        <v>142649</v>
      </c>
      <c r="J68" s="163">
        <v>142310</v>
      </c>
      <c r="K68" s="163">
        <v>153157</v>
      </c>
      <c r="L68" s="163">
        <v>162431</v>
      </c>
      <c r="M68" s="163">
        <v>148101</v>
      </c>
      <c r="N68" s="164">
        <v>145129</v>
      </c>
    </row>
    <row r="69" spans="2:14" x14ac:dyDescent="0.3">
      <c r="B69" s="5"/>
      <c r="G69" s="155"/>
      <c r="H69" s="155"/>
      <c r="I69" s="155"/>
      <c r="J69" s="155"/>
      <c r="K69" s="155"/>
      <c r="L69" s="155"/>
      <c r="M69" s="155"/>
      <c r="N69" s="156"/>
    </row>
    <row r="70" spans="2:14" x14ac:dyDescent="0.3">
      <c r="B70" s="5" t="s">
        <v>189</v>
      </c>
      <c r="G70" s="155" cm="1">
        <f t="array" ref="G70:N71">_xldudf_WISE($C$2,$B70:$B71,G$4:N$4)/1000000</f>
        <v>0</v>
      </c>
      <c r="H70" s="155">
        <v>0</v>
      </c>
      <c r="I70" s="155">
        <v>0</v>
      </c>
      <c r="J70" s="155">
        <v>0</v>
      </c>
      <c r="K70" s="155">
        <v>0</v>
      </c>
      <c r="L70" s="155">
        <v>0</v>
      </c>
      <c r="M70" s="155">
        <v>0</v>
      </c>
      <c r="N70" s="156">
        <v>0</v>
      </c>
    </row>
    <row r="71" spans="2:14" x14ac:dyDescent="0.3">
      <c r="B71" s="22" t="s">
        <v>140</v>
      </c>
      <c r="C71" s="23"/>
      <c r="D71" s="23"/>
      <c r="E71" s="23"/>
      <c r="F71" s="23"/>
      <c r="G71" s="161">
        <v>193437</v>
      </c>
      <c r="H71" s="161">
        <v>241272</v>
      </c>
      <c r="I71" s="161">
        <v>258578</v>
      </c>
      <c r="J71" s="161">
        <v>248028</v>
      </c>
      <c r="K71" s="161">
        <v>258549</v>
      </c>
      <c r="L71" s="161">
        <v>287912</v>
      </c>
      <c r="M71" s="161">
        <v>302083</v>
      </c>
      <c r="N71" s="162">
        <v>290437</v>
      </c>
    </row>
    <row r="72" spans="2:14" x14ac:dyDescent="0.3">
      <c r="B72" s="5"/>
      <c r="G72" s="155"/>
      <c r="H72" s="155"/>
      <c r="I72" s="155"/>
      <c r="J72" s="155"/>
      <c r="K72" s="155"/>
      <c r="L72" s="155"/>
      <c r="M72" s="155"/>
      <c r="N72" s="156"/>
    </row>
    <row r="73" spans="2:14" x14ac:dyDescent="0.3">
      <c r="B73" s="5" t="s">
        <v>190</v>
      </c>
      <c r="G73" s="155" cm="1">
        <f t="array" ref="G73:N77">_xldudf_WISE($C$2,$B73:$B77,G$4:N$4)/1000000</f>
        <v>31251</v>
      </c>
      <c r="H73" s="155">
        <v>35867</v>
      </c>
      <c r="I73" s="155">
        <v>40201</v>
      </c>
      <c r="J73" s="155">
        <v>45174</v>
      </c>
      <c r="K73" s="155">
        <v>50779</v>
      </c>
      <c r="L73" s="155">
        <v>57365</v>
      </c>
      <c r="M73" s="155">
        <v>64849</v>
      </c>
      <c r="N73" s="156">
        <v>73812</v>
      </c>
    </row>
    <row r="74" spans="2:14" x14ac:dyDescent="0.3">
      <c r="B74" s="5" t="s">
        <v>136</v>
      </c>
      <c r="G74" s="155">
        <v>96364</v>
      </c>
      <c r="H74" s="155">
        <v>98330</v>
      </c>
      <c r="I74" s="155">
        <v>70400</v>
      </c>
      <c r="J74" s="155">
        <v>45898</v>
      </c>
      <c r="K74" s="155">
        <v>14966</v>
      </c>
      <c r="L74" s="155">
        <v>5562</v>
      </c>
      <c r="M74" s="155">
        <v>-3068</v>
      </c>
      <c r="N74" s="156">
        <v>-214</v>
      </c>
    </row>
    <row r="75" spans="2:14" x14ac:dyDescent="0.3">
      <c r="B75" s="5" t="s">
        <v>191</v>
      </c>
      <c r="G75" s="155">
        <v>634</v>
      </c>
      <c r="H75" s="155">
        <v>-150</v>
      </c>
      <c r="I75" s="155">
        <v>-3454</v>
      </c>
      <c r="J75" s="155">
        <v>-584</v>
      </c>
      <c r="K75" s="155">
        <v>-406</v>
      </c>
      <c r="L75" s="155">
        <v>163</v>
      </c>
      <c r="M75" s="155">
        <v>-11109</v>
      </c>
      <c r="N75" s="156">
        <v>-11452</v>
      </c>
    </row>
    <row r="76" spans="2:14" x14ac:dyDescent="0.3">
      <c r="B76" s="5" t="s">
        <v>192</v>
      </c>
      <c r="G76" s="155">
        <v>0</v>
      </c>
      <c r="H76" s="155">
        <v>0</v>
      </c>
      <c r="I76" s="155">
        <v>0</v>
      </c>
      <c r="J76" s="155">
        <v>0</v>
      </c>
      <c r="K76" s="155">
        <v>0</v>
      </c>
      <c r="L76" s="155">
        <v>0</v>
      </c>
      <c r="M76" s="155">
        <v>0</v>
      </c>
      <c r="N76" s="156">
        <v>0</v>
      </c>
    </row>
    <row r="77" spans="2:14" x14ac:dyDescent="0.3">
      <c r="B77" s="153" t="s">
        <v>193</v>
      </c>
      <c r="C77" s="150"/>
      <c r="D77" s="150"/>
      <c r="E77" s="150"/>
      <c r="F77" s="150"/>
      <c r="G77" s="163">
        <v>128249</v>
      </c>
      <c r="H77" s="163">
        <v>134047</v>
      </c>
      <c r="I77" s="163">
        <v>107147</v>
      </c>
      <c r="J77" s="163">
        <v>90488</v>
      </c>
      <c r="K77" s="163">
        <v>65339</v>
      </c>
      <c r="L77" s="163">
        <v>63090</v>
      </c>
      <c r="M77" s="163">
        <v>50672</v>
      </c>
      <c r="N77" s="164">
        <v>62146</v>
      </c>
    </row>
    <row r="78" spans="2:14" x14ac:dyDescent="0.3">
      <c r="B78" s="5"/>
      <c r="G78" s="155"/>
      <c r="H78" s="155"/>
      <c r="I78" s="155"/>
      <c r="J78" s="155"/>
      <c r="K78" s="155"/>
      <c r="L78" s="155"/>
      <c r="M78" s="155"/>
      <c r="N78" s="156"/>
    </row>
    <row r="79" spans="2:14" x14ac:dyDescent="0.3">
      <c r="B79" s="5" t="s">
        <v>194</v>
      </c>
      <c r="G79" s="155" cm="1">
        <f t="array" ref="G79:N82">_xldudf_WISE($C$2,$B79:$B82,G$4:N$4)/1000000</f>
        <v>321686</v>
      </c>
      <c r="H79" s="155">
        <v>375319</v>
      </c>
      <c r="I79" s="155">
        <v>365725</v>
      </c>
      <c r="J79" s="155">
        <v>338516</v>
      </c>
      <c r="K79" s="155">
        <v>323888</v>
      </c>
      <c r="L79" s="155">
        <v>351002</v>
      </c>
      <c r="M79" s="155">
        <v>352755</v>
      </c>
      <c r="N79" s="156">
        <v>352583</v>
      </c>
    </row>
    <row r="80" spans="2:14" x14ac:dyDescent="0.3">
      <c r="B80" s="5" t="s">
        <v>195</v>
      </c>
      <c r="G80" s="155">
        <v>217101</v>
      </c>
      <c r="H80" s="155">
        <v>248606</v>
      </c>
      <c r="I80" s="155">
        <v>211187</v>
      </c>
      <c r="J80" s="155">
        <v>157054</v>
      </c>
      <c r="K80" s="155">
        <v>153814</v>
      </c>
      <c r="L80" s="155">
        <v>155576</v>
      </c>
      <c r="M80" s="155">
        <v>145463</v>
      </c>
      <c r="N80" s="156">
        <v>132134</v>
      </c>
    </row>
    <row r="81" spans="2:14" x14ac:dyDescent="0.3">
      <c r="B81" s="5" t="s">
        <v>35</v>
      </c>
      <c r="G81" s="155">
        <v>87032</v>
      </c>
      <c r="H81" s="155">
        <v>115680</v>
      </c>
      <c r="I81" s="155">
        <v>114483</v>
      </c>
      <c r="J81" s="155">
        <v>108047</v>
      </c>
      <c r="K81" s="155">
        <v>122278</v>
      </c>
      <c r="L81" s="155">
        <v>136522</v>
      </c>
      <c r="M81" s="155">
        <v>132480</v>
      </c>
      <c r="N81" s="156">
        <v>123930</v>
      </c>
    </row>
    <row r="82" spans="2:14" x14ac:dyDescent="0.3">
      <c r="B82" s="13" t="s">
        <v>196</v>
      </c>
      <c r="C82" s="14"/>
      <c r="D82" s="14"/>
      <c r="E82" s="14"/>
      <c r="F82" s="14"/>
      <c r="G82" s="159">
        <v>66548</v>
      </c>
      <c r="H82" s="159">
        <v>95391</v>
      </c>
      <c r="I82" s="159">
        <v>88570</v>
      </c>
      <c r="J82" s="159">
        <v>59203</v>
      </c>
      <c r="K82" s="159">
        <v>84262</v>
      </c>
      <c r="L82" s="159">
        <v>101582</v>
      </c>
      <c r="M82" s="159">
        <v>108834</v>
      </c>
      <c r="N82" s="160">
        <v>93965</v>
      </c>
    </row>
    <row r="83" spans="2:14" x14ac:dyDescent="0.3">
      <c r="G83" s="155"/>
      <c r="H83" s="155"/>
      <c r="I83" s="155"/>
      <c r="J83" s="155"/>
      <c r="K83" s="155"/>
      <c r="L83" s="155"/>
      <c r="M83" s="155"/>
      <c r="N83" s="155"/>
    </row>
    <row r="84" spans="2:14" x14ac:dyDescent="0.3">
      <c r="B84" s="3" t="s">
        <v>224</v>
      </c>
      <c r="C84" s="4"/>
      <c r="D84" s="4"/>
      <c r="E84" s="4"/>
      <c r="F84" s="4"/>
      <c r="G84" s="4">
        <f t="shared" ref="G84:M84" si="4">G4</f>
        <v>2016</v>
      </c>
      <c r="H84" s="4">
        <f t="shared" si="4"/>
        <v>2017</v>
      </c>
      <c r="I84" s="4">
        <f t="shared" si="4"/>
        <v>2018</v>
      </c>
      <c r="J84" s="4">
        <f t="shared" si="4"/>
        <v>2019</v>
      </c>
      <c r="K84" s="4">
        <f t="shared" si="4"/>
        <v>2020</v>
      </c>
      <c r="L84" s="4">
        <f t="shared" si="4"/>
        <v>2021</v>
      </c>
      <c r="M84" s="4">
        <f t="shared" si="4"/>
        <v>2022</v>
      </c>
      <c r="N84" s="4">
        <f>N4</f>
        <v>2023</v>
      </c>
    </row>
    <row r="85" spans="2:14" x14ac:dyDescent="0.3">
      <c r="B85" s="5" t="s">
        <v>150</v>
      </c>
      <c r="G85" s="155"/>
      <c r="H85" s="155"/>
      <c r="I85" s="155"/>
      <c r="J85" s="155"/>
      <c r="K85" s="155"/>
      <c r="L85" s="155"/>
      <c r="M85" s="155"/>
      <c r="N85" s="156"/>
    </row>
    <row r="86" spans="2:14" x14ac:dyDescent="0.3">
      <c r="B86" s="22" t="s">
        <v>82</v>
      </c>
      <c r="C86" s="23"/>
      <c r="D86" s="23"/>
      <c r="E86" s="23"/>
      <c r="F86" s="23"/>
      <c r="G86" s="161" cm="1">
        <f t="array" ref="G86:N96">_xldudf_WISE($C$2,$B86:$B96,G$4:N$4)/1000000</f>
        <v>45687</v>
      </c>
      <c r="H86" s="161">
        <v>48351</v>
      </c>
      <c r="I86" s="161">
        <v>59531</v>
      </c>
      <c r="J86" s="161">
        <v>55256</v>
      </c>
      <c r="K86" s="161">
        <v>57411</v>
      </c>
      <c r="L86" s="161">
        <v>94680</v>
      </c>
      <c r="M86" s="161">
        <v>99803</v>
      </c>
      <c r="N86" s="162">
        <v>96995</v>
      </c>
    </row>
    <row r="87" spans="2:14" x14ac:dyDescent="0.3">
      <c r="B87" s="5" t="s">
        <v>157</v>
      </c>
      <c r="G87" s="155">
        <v>10505</v>
      </c>
      <c r="H87" s="155">
        <v>10157</v>
      </c>
      <c r="I87" s="155">
        <v>10903</v>
      </c>
      <c r="J87" s="155">
        <v>12547</v>
      </c>
      <c r="K87" s="155">
        <v>11056</v>
      </c>
      <c r="L87" s="155">
        <v>11284</v>
      </c>
      <c r="M87" s="155">
        <v>11104</v>
      </c>
      <c r="N87" s="156">
        <v>11519</v>
      </c>
    </row>
    <row r="88" spans="2:14" x14ac:dyDescent="0.3">
      <c r="B88" s="5" t="s">
        <v>197</v>
      </c>
      <c r="G88" s="155">
        <v>4938</v>
      </c>
      <c r="H88" s="155">
        <v>5966</v>
      </c>
      <c r="I88" s="155">
        <v>-32590</v>
      </c>
      <c r="J88" s="155">
        <v>-340</v>
      </c>
      <c r="K88" s="155">
        <v>-215</v>
      </c>
      <c r="L88" s="155">
        <v>-4774</v>
      </c>
      <c r="M88" s="155">
        <v>895</v>
      </c>
      <c r="N88" s="156">
        <v>0</v>
      </c>
    </row>
    <row r="89" spans="2:14" x14ac:dyDescent="0.3">
      <c r="B89" s="5" t="s">
        <v>198</v>
      </c>
      <c r="G89" s="155">
        <v>4210</v>
      </c>
      <c r="H89" s="155">
        <v>4840</v>
      </c>
      <c r="I89" s="155">
        <v>5340</v>
      </c>
      <c r="J89" s="155">
        <v>6068</v>
      </c>
      <c r="K89" s="155">
        <v>6829</v>
      </c>
      <c r="L89" s="155">
        <v>7906</v>
      </c>
      <c r="M89" s="155">
        <v>9038</v>
      </c>
      <c r="N89" s="156">
        <v>10833</v>
      </c>
    </row>
    <row r="90" spans="2:14" x14ac:dyDescent="0.3">
      <c r="B90" s="5" t="s">
        <v>199</v>
      </c>
      <c r="G90" s="155">
        <v>405</v>
      </c>
      <c r="H90" s="155">
        <v>-4923</v>
      </c>
      <c r="I90" s="155">
        <v>34694</v>
      </c>
      <c r="J90" s="155">
        <v>-3488</v>
      </c>
      <c r="K90" s="155">
        <v>5690</v>
      </c>
      <c r="L90" s="155">
        <v>-4911</v>
      </c>
      <c r="M90" s="155">
        <v>1200</v>
      </c>
      <c r="N90" s="156">
        <v>-6577</v>
      </c>
    </row>
    <row r="91" spans="2:14" x14ac:dyDescent="0.3">
      <c r="B91" s="5" t="s">
        <v>200</v>
      </c>
      <c r="G91" s="155">
        <v>476</v>
      </c>
      <c r="H91" s="155">
        <v>-6347</v>
      </c>
      <c r="I91" s="155">
        <v>-13332</v>
      </c>
      <c r="J91" s="155">
        <v>3176</v>
      </c>
      <c r="K91" s="155">
        <v>8470</v>
      </c>
      <c r="L91" s="155">
        <v>-14028</v>
      </c>
      <c r="M91" s="155">
        <v>-9343</v>
      </c>
      <c r="N91" s="156">
        <v>-417</v>
      </c>
    </row>
    <row r="92" spans="2:14" x14ac:dyDescent="0.3">
      <c r="B92" s="5" t="s">
        <v>168</v>
      </c>
      <c r="G92" s="155">
        <v>2132</v>
      </c>
      <c r="H92" s="155">
        <v>4855</v>
      </c>
      <c r="I92" s="155">
        <v>3956</v>
      </c>
      <c r="J92" s="155">
        <v>4106</v>
      </c>
      <c r="K92" s="155">
        <v>4061</v>
      </c>
      <c r="L92" s="155">
        <v>6580</v>
      </c>
      <c r="M92" s="155">
        <v>4946</v>
      </c>
      <c r="N92" s="156">
        <v>6331</v>
      </c>
    </row>
    <row r="93" spans="2:14" x14ac:dyDescent="0.3">
      <c r="B93" s="5" t="s">
        <v>201</v>
      </c>
      <c r="G93" s="155">
        <v>2117</v>
      </c>
      <c r="H93" s="155">
        <v>8966</v>
      </c>
      <c r="I93" s="155">
        <v>9175</v>
      </c>
      <c r="J93" s="155">
        <v>-1923</v>
      </c>
      <c r="K93" s="155">
        <v>-4062</v>
      </c>
      <c r="L93" s="155">
        <v>12326</v>
      </c>
      <c r="M93" s="155">
        <v>9448</v>
      </c>
      <c r="N93" s="156">
        <v>-1889</v>
      </c>
    </row>
    <row r="94" spans="2:14" x14ac:dyDescent="0.3">
      <c r="B94" s="5" t="s">
        <v>202</v>
      </c>
      <c r="G94" s="155">
        <v>-2405</v>
      </c>
      <c r="H94" s="155">
        <v>-4819</v>
      </c>
      <c r="I94" s="155">
        <v>38023</v>
      </c>
      <c r="J94" s="155">
        <v>-4452</v>
      </c>
      <c r="K94" s="155">
        <v>1409</v>
      </c>
      <c r="L94" s="155">
        <v>-567</v>
      </c>
      <c r="M94" s="155">
        <v>-389</v>
      </c>
      <c r="N94" s="156">
        <v>-2653</v>
      </c>
    </row>
    <row r="95" spans="2:14" x14ac:dyDescent="0.3">
      <c r="B95" s="5" t="s">
        <v>203</v>
      </c>
      <c r="G95" s="155">
        <v>486</v>
      </c>
      <c r="H95" s="155">
        <v>-166</v>
      </c>
      <c r="I95" s="155">
        <v>-444</v>
      </c>
      <c r="J95" s="155">
        <v>-652</v>
      </c>
      <c r="K95" s="155">
        <v>-97</v>
      </c>
      <c r="L95" s="155">
        <v>-147</v>
      </c>
      <c r="M95" s="155">
        <v>111</v>
      </c>
      <c r="N95" s="156">
        <v>-2227</v>
      </c>
    </row>
    <row r="96" spans="2:14" x14ac:dyDescent="0.3">
      <c r="B96" s="153" t="s">
        <v>204</v>
      </c>
      <c r="C96" s="150"/>
      <c r="D96" s="150"/>
      <c r="E96" s="150"/>
      <c r="F96" s="150"/>
      <c r="G96" s="163">
        <v>66231</v>
      </c>
      <c r="H96" s="163">
        <v>64225</v>
      </c>
      <c r="I96" s="163">
        <v>77434</v>
      </c>
      <c r="J96" s="163">
        <v>69391</v>
      </c>
      <c r="K96" s="163">
        <v>80674</v>
      </c>
      <c r="L96" s="163">
        <v>104038</v>
      </c>
      <c r="M96" s="163">
        <v>122151</v>
      </c>
      <c r="N96" s="164">
        <v>110543</v>
      </c>
    </row>
    <row r="97" spans="2:14" x14ac:dyDescent="0.3">
      <c r="B97" s="5"/>
      <c r="G97" s="155"/>
      <c r="H97" s="155"/>
      <c r="I97" s="155"/>
      <c r="J97" s="155"/>
      <c r="K97" s="155"/>
      <c r="L97" s="155"/>
      <c r="M97" s="155"/>
      <c r="N97" s="156"/>
    </row>
    <row r="98" spans="2:14" x14ac:dyDescent="0.3">
      <c r="B98" s="5" t="s">
        <v>205</v>
      </c>
      <c r="G98" s="155" cm="1">
        <f t="array" ref="G98:N103">_xldudf_WISE($C$2,$B98:$B103,G$4:N$4)/1000000</f>
        <v>-13548</v>
      </c>
      <c r="H98" s="155">
        <v>-12795</v>
      </c>
      <c r="I98" s="155">
        <v>-13313</v>
      </c>
      <c r="J98" s="155">
        <v>-10495</v>
      </c>
      <c r="K98" s="155">
        <v>-7309</v>
      </c>
      <c r="L98" s="155">
        <v>-11085</v>
      </c>
      <c r="M98" s="155">
        <v>-10708</v>
      </c>
      <c r="N98" s="156">
        <v>-10959</v>
      </c>
    </row>
    <row r="99" spans="2:14" x14ac:dyDescent="0.3">
      <c r="B99" s="5" t="s">
        <v>206</v>
      </c>
      <c r="G99" s="155">
        <v>-297</v>
      </c>
      <c r="H99" s="155">
        <v>-329</v>
      </c>
      <c r="I99" s="155">
        <v>-721</v>
      </c>
      <c r="J99" s="155">
        <v>-624</v>
      </c>
      <c r="K99" s="155">
        <v>-1524</v>
      </c>
      <c r="L99" s="155">
        <v>-33</v>
      </c>
      <c r="M99" s="155">
        <v>-306</v>
      </c>
      <c r="N99" s="156">
        <v>0</v>
      </c>
    </row>
    <row r="100" spans="2:14" x14ac:dyDescent="0.3">
      <c r="B100" s="5" t="s">
        <v>207</v>
      </c>
      <c r="G100" s="155">
        <v>-143816</v>
      </c>
      <c r="H100" s="155">
        <v>-160007</v>
      </c>
      <c r="I100" s="155">
        <v>-73227</v>
      </c>
      <c r="J100" s="155">
        <v>-40631</v>
      </c>
      <c r="K100" s="155">
        <v>-114938</v>
      </c>
      <c r="L100" s="155">
        <v>-109558</v>
      </c>
      <c r="M100" s="155">
        <v>-76923</v>
      </c>
      <c r="N100" s="156">
        <v>-29513</v>
      </c>
    </row>
    <row r="101" spans="2:14" x14ac:dyDescent="0.3">
      <c r="B101" s="5" t="s">
        <v>208</v>
      </c>
      <c r="G101" s="155">
        <v>111794</v>
      </c>
      <c r="H101" s="155">
        <v>126465</v>
      </c>
      <c r="I101" s="155">
        <v>104072</v>
      </c>
      <c r="J101" s="155">
        <v>98724</v>
      </c>
      <c r="K101" s="155">
        <v>120391</v>
      </c>
      <c r="L101" s="155">
        <v>106483</v>
      </c>
      <c r="M101" s="155">
        <v>67363</v>
      </c>
      <c r="N101" s="156">
        <v>45514</v>
      </c>
    </row>
    <row r="102" spans="2:14" x14ac:dyDescent="0.3">
      <c r="B102" s="5" t="s">
        <v>209</v>
      </c>
      <c r="G102" s="155">
        <v>-924</v>
      </c>
      <c r="H102" s="155">
        <v>-124</v>
      </c>
      <c r="I102" s="155">
        <v>-745</v>
      </c>
      <c r="J102" s="155">
        <v>-1078</v>
      </c>
      <c r="K102" s="155">
        <v>-909</v>
      </c>
      <c r="L102" s="155">
        <v>-352</v>
      </c>
      <c r="M102" s="155">
        <v>-1780</v>
      </c>
      <c r="N102" s="156">
        <v>-1337</v>
      </c>
    </row>
    <row r="103" spans="2:14" x14ac:dyDescent="0.3">
      <c r="B103" s="153" t="s">
        <v>210</v>
      </c>
      <c r="C103" s="150"/>
      <c r="D103" s="150"/>
      <c r="E103" s="150"/>
      <c r="F103" s="150"/>
      <c r="G103" s="163">
        <v>-45977</v>
      </c>
      <c r="H103" s="163">
        <v>-46446</v>
      </c>
      <c r="I103" s="163">
        <v>16066</v>
      </c>
      <c r="J103" s="163">
        <v>45896</v>
      </c>
      <c r="K103" s="163">
        <v>-4289</v>
      </c>
      <c r="L103" s="163">
        <v>-14545</v>
      </c>
      <c r="M103" s="163">
        <v>-22354</v>
      </c>
      <c r="N103" s="164">
        <v>3705</v>
      </c>
    </row>
    <row r="104" spans="2:14" x14ac:dyDescent="0.3">
      <c r="B104" s="5"/>
      <c r="G104" s="155"/>
      <c r="H104" s="155"/>
      <c r="I104" s="155"/>
      <c r="J104" s="155"/>
      <c r="K104" s="155"/>
      <c r="L104" s="155"/>
      <c r="M104" s="155"/>
      <c r="N104" s="156"/>
    </row>
    <row r="105" spans="2:14" x14ac:dyDescent="0.3">
      <c r="B105" s="5" t="s">
        <v>211</v>
      </c>
      <c r="G105" s="155" cm="1">
        <f t="array" ref="G105:N110">_xldudf_WISE($C$2,$B105:$B110,G$4:N$4)/1000000</f>
        <v>22057</v>
      </c>
      <c r="H105" s="155">
        <v>25162</v>
      </c>
      <c r="I105" s="155">
        <v>432</v>
      </c>
      <c r="J105" s="155">
        <v>-7819</v>
      </c>
      <c r="K105" s="155">
        <v>2499</v>
      </c>
      <c r="L105" s="155">
        <v>12665</v>
      </c>
      <c r="M105" s="155">
        <v>-123</v>
      </c>
      <c r="N105" s="156">
        <v>-9901</v>
      </c>
    </row>
    <row r="106" spans="2:14" x14ac:dyDescent="0.3">
      <c r="B106" s="5" t="s">
        <v>212</v>
      </c>
      <c r="G106" s="155">
        <v>495</v>
      </c>
      <c r="H106" s="155">
        <v>555</v>
      </c>
      <c r="I106" s="155">
        <v>669</v>
      </c>
      <c r="J106" s="155">
        <v>781</v>
      </c>
      <c r="K106" s="155">
        <v>880</v>
      </c>
      <c r="L106" s="155">
        <v>1105</v>
      </c>
      <c r="M106" s="155">
        <v>0</v>
      </c>
      <c r="N106" s="156">
        <v>0</v>
      </c>
    </row>
    <row r="107" spans="2:14" x14ac:dyDescent="0.3">
      <c r="B107" s="5" t="s">
        <v>213</v>
      </c>
      <c r="G107" s="155">
        <v>-29722</v>
      </c>
      <c r="H107" s="155">
        <v>-32900</v>
      </c>
      <c r="I107" s="155">
        <v>-72738</v>
      </c>
      <c r="J107" s="155">
        <v>-66897</v>
      </c>
      <c r="K107" s="155">
        <v>-72358</v>
      </c>
      <c r="L107" s="155">
        <v>-85971</v>
      </c>
      <c r="M107" s="155">
        <v>-89402</v>
      </c>
      <c r="N107" s="156">
        <v>-77550</v>
      </c>
    </row>
    <row r="108" spans="2:14" x14ac:dyDescent="0.3">
      <c r="B108" s="5" t="s">
        <v>214</v>
      </c>
      <c r="G108" s="155">
        <v>-12150</v>
      </c>
      <c r="H108" s="155">
        <v>-12769</v>
      </c>
      <c r="I108" s="155">
        <v>-13712</v>
      </c>
      <c r="J108" s="155">
        <v>-14119</v>
      </c>
      <c r="K108" s="155">
        <v>-14081</v>
      </c>
      <c r="L108" s="155">
        <v>-14467</v>
      </c>
      <c r="M108" s="155">
        <v>-14841</v>
      </c>
      <c r="N108" s="156">
        <v>-15025</v>
      </c>
    </row>
    <row r="109" spans="2:14" x14ac:dyDescent="0.3">
      <c r="B109" s="5" t="s">
        <v>215</v>
      </c>
      <c r="G109" s="155">
        <v>-1570</v>
      </c>
      <c r="H109" s="155">
        <v>1978</v>
      </c>
      <c r="I109" s="155">
        <v>-2527</v>
      </c>
      <c r="J109" s="155">
        <v>-2922</v>
      </c>
      <c r="K109" s="155">
        <v>-3760</v>
      </c>
      <c r="L109" s="155">
        <v>-6685</v>
      </c>
      <c r="M109" s="155">
        <v>-6383</v>
      </c>
      <c r="N109" s="156">
        <v>-6012</v>
      </c>
    </row>
    <row r="110" spans="2:14" x14ac:dyDescent="0.3">
      <c r="B110" s="153" t="s">
        <v>216</v>
      </c>
      <c r="C110" s="150"/>
      <c r="D110" s="150"/>
      <c r="E110" s="150"/>
      <c r="F110" s="150"/>
      <c r="G110" s="163">
        <v>-20890</v>
      </c>
      <c r="H110" s="163">
        <v>-17974</v>
      </c>
      <c r="I110" s="163">
        <v>-87876</v>
      </c>
      <c r="J110" s="163">
        <v>-90976</v>
      </c>
      <c r="K110" s="163">
        <v>-86820</v>
      </c>
      <c r="L110" s="163">
        <v>-93353</v>
      </c>
      <c r="M110" s="163">
        <v>-110749</v>
      </c>
      <c r="N110" s="164">
        <v>-108488</v>
      </c>
    </row>
    <row r="111" spans="2:14" x14ac:dyDescent="0.3">
      <c r="B111" s="5"/>
      <c r="G111" s="155"/>
      <c r="H111" s="155"/>
      <c r="I111" s="155"/>
      <c r="J111" s="155"/>
      <c r="K111" s="155"/>
      <c r="L111" s="155"/>
      <c r="M111" s="155"/>
      <c r="N111" s="156"/>
    </row>
    <row r="112" spans="2:14" x14ac:dyDescent="0.3">
      <c r="B112" s="5" t="s">
        <v>217</v>
      </c>
      <c r="G112" s="155" cm="1">
        <f t="array" ref="G112:N118">_xldudf_WISE($C$2,$B112:$B118,G$4:N$4)/1000000</f>
        <v>0</v>
      </c>
      <c r="H112" s="155">
        <v>0</v>
      </c>
      <c r="I112" s="155">
        <v>0</v>
      </c>
      <c r="J112" s="155">
        <v>0</v>
      </c>
      <c r="K112" s="155">
        <v>0</v>
      </c>
      <c r="L112" s="155">
        <v>0</v>
      </c>
      <c r="M112" s="155">
        <v>0</v>
      </c>
      <c r="N112" s="156">
        <v>0</v>
      </c>
    </row>
    <row r="113" spans="2:14" x14ac:dyDescent="0.3">
      <c r="B113" s="5" t="s">
        <v>218</v>
      </c>
      <c r="G113" s="155">
        <v>-636</v>
      </c>
      <c r="H113" s="155">
        <v>-195</v>
      </c>
      <c r="I113" s="155">
        <v>5624</v>
      </c>
      <c r="J113" s="155">
        <v>24311</v>
      </c>
      <c r="K113" s="155">
        <v>-10435</v>
      </c>
      <c r="L113" s="155">
        <v>-3860</v>
      </c>
      <c r="M113" s="155">
        <v>-10952</v>
      </c>
      <c r="N113" s="156">
        <v>5760</v>
      </c>
    </row>
    <row r="114" spans="2:14" x14ac:dyDescent="0.3">
      <c r="B114" s="5" t="s">
        <v>219</v>
      </c>
      <c r="G114" s="155">
        <v>20484</v>
      </c>
      <c r="H114" s="155">
        <v>20289</v>
      </c>
      <c r="I114" s="155">
        <v>25913</v>
      </c>
      <c r="J114" s="155">
        <v>50224</v>
      </c>
      <c r="K114" s="155">
        <v>39789</v>
      </c>
      <c r="L114" s="155">
        <v>35929</v>
      </c>
      <c r="M114" s="155">
        <v>24977</v>
      </c>
      <c r="N114" s="156">
        <v>30737</v>
      </c>
    </row>
    <row r="115" spans="2:14" x14ac:dyDescent="0.3">
      <c r="B115" s="5" t="s">
        <v>220</v>
      </c>
      <c r="G115" s="155">
        <v>21120</v>
      </c>
      <c r="H115" s="155">
        <v>20484</v>
      </c>
      <c r="I115" s="155">
        <v>20289</v>
      </c>
      <c r="J115" s="155">
        <v>25913</v>
      </c>
      <c r="K115" s="155">
        <v>50224</v>
      </c>
      <c r="L115" s="155">
        <v>39789</v>
      </c>
      <c r="M115" s="155">
        <v>35929</v>
      </c>
      <c r="N115" s="156">
        <v>24977</v>
      </c>
    </row>
    <row r="116" spans="2:14" x14ac:dyDescent="0.3">
      <c r="B116" s="5" t="s">
        <v>221</v>
      </c>
      <c r="G116" s="155">
        <v>66231</v>
      </c>
      <c r="H116" s="155">
        <v>64225</v>
      </c>
      <c r="I116" s="155">
        <v>77434</v>
      </c>
      <c r="J116" s="155">
        <v>69391</v>
      </c>
      <c r="K116" s="155">
        <v>80674</v>
      </c>
      <c r="L116" s="155">
        <v>104038</v>
      </c>
      <c r="M116" s="155">
        <v>122151</v>
      </c>
      <c r="N116" s="156">
        <v>110543</v>
      </c>
    </row>
    <row r="117" spans="2:14" x14ac:dyDescent="0.3">
      <c r="B117" s="5" t="s">
        <v>222</v>
      </c>
      <c r="G117" s="155">
        <v>-13548</v>
      </c>
      <c r="H117" s="155">
        <v>-12795</v>
      </c>
      <c r="I117" s="155">
        <v>-13313</v>
      </c>
      <c r="J117" s="155">
        <v>-10495</v>
      </c>
      <c r="K117" s="155">
        <v>-7309</v>
      </c>
      <c r="L117" s="155">
        <v>-11085</v>
      </c>
      <c r="M117" s="155">
        <v>-10708</v>
      </c>
      <c r="N117" s="156">
        <v>-10959</v>
      </c>
    </row>
    <row r="118" spans="2:14" x14ac:dyDescent="0.3">
      <c r="B118" s="22" t="s">
        <v>88</v>
      </c>
      <c r="C118" s="23"/>
      <c r="D118" s="23"/>
      <c r="E118" s="23"/>
      <c r="F118" s="23"/>
      <c r="G118" s="161">
        <v>52683</v>
      </c>
      <c r="H118" s="161">
        <v>51430</v>
      </c>
      <c r="I118" s="161">
        <v>64121</v>
      </c>
      <c r="J118" s="161">
        <v>58896</v>
      </c>
      <c r="K118" s="161">
        <v>73365</v>
      </c>
      <c r="L118" s="161">
        <v>92953</v>
      </c>
      <c r="M118" s="161">
        <v>111443</v>
      </c>
      <c r="N118" s="162">
        <v>99584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74D7-35CC-4608-AEA9-C04108CB7F3C}">
  <dimension ref="B2:AC109"/>
  <sheetViews>
    <sheetView showGridLines="0" topLeftCell="A90" zoomScale="85" zoomScaleNormal="85" workbookViewId="0">
      <selection activeCell="O21" sqref="O21"/>
    </sheetView>
  </sheetViews>
  <sheetFormatPr defaultColWidth="8.77734375" defaultRowHeight="14.4" x14ac:dyDescent="0.3"/>
  <cols>
    <col min="1" max="1" width="4.44140625" customWidth="1"/>
    <col min="4" max="14" width="9.109375" customWidth="1"/>
    <col min="19" max="19" width="9.109375" customWidth="1"/>
    <col min="25" max="25" width="9.6640625" customWidth="1"/>
  </cols>
  <sheetData>
    <row r="2" spans="2:26" x14ac:dyDescent="0.3">
      <c r="B2" s="22" t="s">
        <v>0</v>
      </c>
      <c r="C2" s="60" t="s">
        <v>323</v>
      </c>
      <c r="E2" s="226" t="s">
        <v>62</v>
      </c>
      <c r="F2" s="227"/>
      <c r="G2" s="135" cm="1">
        <f t="array" ref="G2">_xldudf_WISEPRICE(C2,"price")</f>
        <v>327.5</v>
      </c>
      <c r="S2" s="243"/>
      <c r="T2" s="243"/>
      <c r="U2" s="243"/>
      <c r="V2" s="243"/>
      <c r="W2" s="243"/>
      <c r="X2" s="243"/>
      <c r="Y2" s="243"/>
      <c r="Z2" s="243"/>
    </row>
    <row r="4" spans="2:26" x14ac:dyDescent="0.3">
      <c r="B4" s="3" t="s">
        <v>1</v>
      </c>
      <c r="C4" s="4"/>
      <c r="D4" s="4"/>
      <c r="E4" s="4"/>
      <c r="F4" s="4"/>
      <c r="G4" s="4"/>
      <c r="H4" s="4"/>
      <c r="I4" s="4"/>
      <c r="J4" s="4"/>
      <c r="K4" s="4"/>
      <c r="L4" s="4"/>
      <c r="M4" s="4"/>
      <c r="N4" s="15"/>
      <c r="P4" s="3"/>
      <c r="Q4" s="4"/>
      <c r="R4" s="74"/>
      <c r="S4" s="235" t="s">
        <v>2</v>
      </c>
      <c r="T4" s="235"/>
      <c r="U4" s="235" t="s">
        <v>11</v>
      </c>
      <c r="V4" s="235"/>
      <c r="W4" s="235" t="s">
        <v>16</v>
      </c>
      <c r="X4" s="235"/>
      <c r="Y4" s="235" t="s">
        <v>17</v>
      </c>
      <c r="Z4" s="244"/>
    </row>
    <row r="5" spans="2:26" x14ac:dyDescent="0.3">
      <c r="B5" s="220" t="s">
        <v>2</v>
      </c>
      <c r="C5" s="221"/>
      <c r="D5" s="221"/>
      <c r="E5" s="1"/>
      <c r="G5" s="16"/>
      <c r="H5" s="16"/>
      <c r="I5" s="217" t="s">
        <v>11</v>
      </c>
      <c r="J5" s="217"/>
      <c r="K5" s="217" t="s">
        <v>16</v>
      </c>
      <c r="L5" s="217"/>
      <c r="M5" s="217" t="s">
        <v>17</v>
      </c>
      <c r="N5" s="218"/>
      <c r="P5" s="224" t="s">
        <v>61</v>
      </c>
      <c r="Q5" s="225"/>
      <c r="R5" s="52"/>
      <c r="S5" s="238">
        <f ca="1">S17</f>
        <v>173.48113817908779</v>
      </c>
      <c r="T5" s="238"/>
      <c r="U5" s="238">
        <f>U17</f>
        <v>132.91787258429247</v>
      </c>
      <c r="V5" s="238"/>
      <c r="W5" s="238">
        <f>W17</f>
        <v>200.36150642579651</v>
      </c>
      <c r="X5" s="238"/>
      <c r="Y5" s="238">
        <f>Y17</f>
        <v>318.58735982285975</v>
      </c>
      <c r="Z5" s="239"/>
    </row>
    <row r="6" spans="2:26" x14ac:dyDescent="0.3">
      <c r="B6" s="5" t="s">
        <v>3</v>
      </c>
      <c r="D6" s="61">
        <v>2</v>
      </c>
      <c r="G6" t="s">
        <v>12</v>
      </c>
      <c r="I6" s="219">
        <f>M22-1%</f>
        <v>8.7737630562114786E-3</v>
      </c>
      <c r="J6" s="219"/>
      <c r="K6" s="219"/>
      <c r="L6" s="219"/>
      <c r="M6" s="219">
        <f>M22+1%</f>
        <v>2.8773763056211481E-2</v>
      </c>
      <c r="N6" s="230"/>
      <c r="P6" s="228" t="s">
        <v>63</v>
      </c>
      <c r="Q6" s="229"/>
      <c r="R6" s="187"/>
      <c r="S6" s="236">
        <f ca="1">S5/$G$2-1</f>
        <v>-0.47028660097988462</v>
      </c>
      <c r="T6" s="236"/>
      <c r="U6" s="236">
        <f t="shared" ref="U6" si="0">U5/$G$2-1</f>
        <v>-0.59414390050597721</v>
      </c>
      <c r="V6" s="236"/>
      <c r="W6" s="236">
        <f t="shared" ref="W6" si="1">W5/$G$2-1</f>
        <v>-0.38820914068459078</v>
      </c>
      <c r="X6" s="236"/>
      <c r="Y6" s="236">
        <f t="shared" ref="Y6" si="2">Y5/$G$2-1</f>
        <v>-2.7214168479817502E-2</v>
      </c>
      <c r="Z6" s="237"/>
    </row>
    <row r="7" spans="2:26" x14ac:dyDescent="0.3">
      <c r="B7" s="5" t="s">
        <v>4</v>
      </c>
      <c r="D7" s="61">
        <v>2</v>
      </c>
      <c r="G7" t="s">
        <v>13</v>
      </c>
      <c r="I7" s="219">
        <f>K7-1%</f>
        <v>0.04</v>
      </c>
      <c r="J7" s="219"/>
      <c r="K7" s="223">
        <v>0.05</v>
      </c>
      <c r="L7" s="223"/>
      <c r="M7" s="219">
        <f>K7+1%</f>
        <v>6.0000000000000005E-2</v>
      </c>
      <c r="N7" s="230"/>
    </row>
    <row r="8" spans="2:26" x14ac:dyDescent="0.3">
      <c r="B8" s="5" t="s">
        <v>5</v>
      </c>
      <c r="D8" s="61">
        <v>2</v>
      </c>
      <c r="G8" t="s">
        <v>14</v>
      </c>
      <c r="I8" s="219">
        <f>M25-1%</f>
        <v>0.32492678863302282</v>
      </c>
      <c r="J8" s="219"/>
      <c r="K8" s="219"/>
      <c r="L8" s="219"/>
      <c r="M8" s="219">
        <f>M25+1%</f>
        <v>0.34492678863302284</v>
      </c>
      <c r="N8" s="230"/>
      <c r="P8" s="3" t="s">
        <v>302</v>
      </c>
      <c r="Q8" s="4"/>
      <c r="R8" s="4"/>
      <c r="S8" s="4"/>
      <c r="T8" s="75"/>
      <c r="U8" s="75"/>
      <c r="V8" s="75"/>
      <c r="W8" s="75"/>
      <c r="X8" s="75"/>
      <c r="Y8" s="75"/>
      <c r="Z8" s="76"/>
    </row>
    <row r="9" spans="2:26" x14ac:dyDescent="0.3">
      <c r="B9" s="5" t="s">
        <v>6</v>
      </c>
      <c r="D9" s="61">
        <v>2</v>
      </c>
      <c r="G9" t="s">
        <v>30</v>
      </c>
      <c r="I9" s="219">
        <f>M28+3%</f>
        <v>0.17713108124417426</v>
      </c>
      <c r="J9" s="219"/>
      <c r="K9" s="219"/>
      <c r="L9" s="219"/>
      <c r="M9" s="219">
        <f>M28-3%</f>
        <v>0.11713108124417426</v>
      </c>
      <c r="N9" s="230"/>
      <c r="P9" s="5"/>
      <c r="S9" s="242" t="s">
        <v>2</v>
      </c>
      <c r="T9" s="242"/>
      <c r="U9" s="242" t="s">
        <v>11</v>
      </c>
      <c r="V9" s="242"/>
      <c r="W9" s="242" t="s">
        <v>16</v>
      </c>
      <c r="X9" s="242"/>
      <c r="Y9" s="242" t="s">
        <v>17</v>
      </c>
      <c r="Z9" s="245"/>
    </row>
    <row r="10" spans="2:26" x14ac:dyDescent="0.3">
      <c r="B10" s="5" t="s">
        <v>7</v>
      </c>
      <c r="D10" s="61">
        <v>1</v>
      </c>
      <c r="G10" t="s">
        <v>6</v>
      </c>
      <c r="I10" s="219">
        <f>M33-0.5%</f>
        <v>2.4686225838717504E-2</v>
      </c>
      <c r="J10" s="219"/>
      <c r="K10" s="219"/>
      <c r="L10" s="219"/>
      <c r="M10" s="219">
        <f>M33+0.5%</f>
        <v>3.4686225838717506E-2</v>
      </c>
      <c r="N10" s="230"/>
      <c r="P10" s="5" t="s">
        <v>51</v>
      </c>
      <c r="S10" s="231">
        <f ca="1">(S89*(1+D17))/(D16-D17)</f>
        <v>1974823.254876602</v>
      </c>
      <c r="T10" s="231"/>
      <c r="U10" s="231">
        <f>(S90*(1+I13))/(I12-I13)</f>
        <v>1455289.2505324013</v>
      </c>
      <c r="V10" s="231"/>
      <c r="W10" s="231">
        <f>(S91*(1+K13))/(K12-K13)</f>
        <v>2333037.3644605973</v>
      </c>
      <c r="X10" s="231"/>
      <c r="Y10" s="231">
        <f>(S92*(1+M13))/(M12-M13)</f>
        <v>3935554.4883589055</v>
      </c>
      <c r="Z10" s="232"/>
    </row>
    <row r="11" spans="2:26" x14ac:dyDescent="0.3">
      <c r="B11" s="5" t="s">
        <v>8</v>
      </c>
      <c r="D11" s="61">
        <v>2</v>
      </c>
      <c r="G11" t="s">
        <v>15</v>
      </c>
      <c r="I11" s="219">
        <f>K11+2%</f>
        <v>9.0000000000000011E-2</v>
      </c>
      <c r="J11" s="219"/>
      <c r="K11" s="223">
        <v>7.0000000000000007E-2</v>
      </c>
      <c r="L11" s="223"/>
      <c r="M11" s="219">
        <f>K11-2%</f>
        <v>0.05</v>
      </c>
      <c r="N11" s="230"/>
      <c r="P11" s="5" t="s">
        <v>49</v>
      </c>
      <c r="S11" s="231">
        <f ca="1">S10/(1+D16)^S94</f>
        <v>1077390.2656355479</v>
      </c>
      <c r="T11" s="231"/>
      <c r="U11" s="231">
        <f>U10/(1+I12)^S94</f>
        <v>744803.0684074813</v>
      </c>
      <c r="V11" s="231"/>
      <c r="W11" s="231">
        <f>W10/(1+K12)^S94</f>
        <v>1272818.5874998341</v>
      </c>
      <c r="X11" s="231"/>
      <c r="Y11" s="231">
        <f>W10/(1+M12)^S94</f>
        <v>1357609.5289345989</v>
      </c>
      <c r="Z11" s="232"/>
    </row>
    <row r="12" spans="2:26" x14ac:dyDescent="0.3">
      <c r="B12" s="5" t="s">
        <v>9</v>
      </c>
      <c r="D12" s="61">
        <v>1</v>
      </c>
      <c r="G12" t="s">
        <v>8</v>
      </c>
      <c r="I12" s="219">
        <f>K12+1%</f>
        <v>0.10041947116212496</v>
      </c>
      <c r="J12" s="219"/>
      <c r="K12" s="219">
        <f>Z27</f>
        <v>9.0419471162124967E-2</v>
      </c>
      <c r="L12" s="219"/>
      <c r="M12" s="219">
        <f>K12-1%</f>
        <v>8.0419471162124972E-2</v>
      </c>
      <c r="N12" s="230"/>
      <c r="P12" s="5" t="s">
        <v>52</v>
      </c>
      <c r="S12" s="231">
        <f ca="1">SUM(M95:S95)+S10</f>
        <v>2567886.398959659</v>
      </c>
      <c r="T12" s="231"/>
      <c r="U12" s="231">
        <f>SUM(M96:S96)+U10</f>
        <v>1968843.4278801782</v>
      </c>
      <c r="V12" s="231"/>
      <c r="W12" s="231">
        <f>SUM(M97:S97)+W10</f>
        <v>2964858.7684694016</v>
      </c>
      <c r="X12" s="231"/>
      <c r="Y12" s="231">
        <f>SUM(M98:S98)+Y10</f>
        <v>4710831.7674103724</v>
      </c>
      <c r="Z12" s="232"/>
    </row>
    <row r="13" spans="2:26" x14ac:dyDescent="0.3">
      <c r="B13" s="5"/>
      <c r="G13" t="s">
        <v>9</v>
      </c>
      <c r="I13" s="219">
        <f>K13-0.5%</f>
        <v>2.4999999999999998E-2</v>
      </c>
      <c r="J13" s="219"/>
      <c r="K13" s="223">
        <v>0.03</v>
      </c>
      <c r="L13" s="223"/>
      <c r="M13" s="219">
        <f>K13+0.5%</f>
        <v>3.4999999999999996E-2</v>
      </c>
      <c r="N13" s="230"/>
      <c r="P13" s="5" t="s">
        <v>56</v>
      </c>
      <c r="S13" s="231" cm="1">
        <f t="array" ref="S13">_xldudf_WISE(C2,"Cash and Short Term Investments","TTM")/1000000</f>
        <v>68507</v>
      </c>
      <c r="T13" s="231"/>
      <c r="U13" s="231" cm="1">
        <f t="array" ref="U13">_xldudf_WISE(C2,"Cash and Short Term Investments","TTM")/1000000</f>
        <v>68507</v>
      </c>
      <c r="V13" s="231"/>
      <c r="W13" s="231" cm="1">
        <f t="array" ref="W13">_xldudf_WISE(C2,"Cash and Short Term Investments","TTM")/1000000</f>
        <v>68507</v>
      </c>
      <c r="X13" s="231"/>
      <c r="Y13" s="231" cm="1">
        <f t="array" ref="Y13">_xldudf_WISE(C2,"Cash and Short Term Investments","TTM")/1000000</f>
        <v>68507</v>
      </c>
      <c r="Z13" s="232"/>
    </row>
    <row r="14" spans="2:26" x14ac:dyDescent="0.3">
      <c r="B14" s="5"/>
      <c r="I14" s="17"/>
      <c r="J14" s="17"/>
      <c r="K14" s="17"/>
      <c r="L14" s="17"/>
      <c r="M14" s="17"/>
      <c r="N14" s="18"/>
      <c r="P14" s="5" t="s">
        <v>53</v>
      </c>
      <c r="S14" s="241" cm="1">
        <f t="array" ref="S14">_xldudf_WISE(C2,"Long term debt","TTM")/1000000</f>
        <v>74404</v>
      </c>
      <c r="T14" s="241"/>
      <c r="U14" s="231" cm="1">
        <f t="array" ref="U14">_xldudf_WISE(C2,"Long term debt","TTM")/1000000</f>
        <v>74404</v>
      </c>
      <c r="V14" s="231"/>
      <c r="W14" s="231" cm="1">
        <f t="array" ref="W14">_xldudf_WISE(C2,"Long term debt","TTM")/1000000</f>
        <v>74404</v>
      </c>
      <c r="X14" s="231"/>
      <c r="Y14" s="231" cm="1">
        <f t="array" ref="Y14">_xldudf_WISE(C2,"Long term debt","TTM")/1000000</f>
        <v>74404</v>
      </c>
      <c r="Z14" s="232"/>
    </row>
    <row r="15" spans="2:26" x14ac:dyDescent="0.3">
      <c r="B15" s="220" t="s">
        <v>10</v>
      </c>
      <c r="C15" s="221"/>
      <c r="D15" s="221"/>
      <c r="G15" t="s">
        <v>47</v>
      </c>
      <c r="I15" s="222">
        <f>3.44%</f>
        <v>3.44E-2</v>
      </c>
      <c r="J15" s="222"/>
      <c r="N15" s="6"/>
      <c r="P15" s="5" t="s">
        <v>54</v>
      </c>
      <c r="S15" s="231">
        <f ca="1">S12+S13-S14</f>
        <v>2561989.398959659</v>
      </c>
      <c r="T15" s="231"/>
      <c r="U15" s="231">
        <f>U12+U13-U14</f>
        <v>1962946.4278801782</v>
      </c>
      <c r="V15" s="231"/>
      <c r="W15" s="231">
        <f>W12+W13-W14</f>
        <v>2958961.7684694016</v>
      </c>
      <c r="X15" s="231"/>
      <c r="Y15" s="231">
        <f>Y12+Y13-Y14</f>
        <v>4704934.7674103724</v>
      </c>
      <c r="Z15" s="232"/>
    </row>
    <row r="16" spans="2:26" x14ac:dyDescent="0.3">
      <c r="B16" s="5" t="s">
        <v>8</v>
      </c>
      <c r="D16" s="19">
        <f>CHOOSE(D11,I12,K12,M12)</f>
        <v>9.0419471162124967E-2</v>
      </c>
      <c r="G16" t="s">
        <v>48</v>
      </c>
      <c r="I16" s="222">
        <v>0.09</v>
      </c>
      <c r="J16" s="222"/>
      <c r="N16" s="6"/>
      <c r="P16" s="5" t="s">
        <v>142</v>
      </c>
      <c r="S16" s="231">
        <f>I17</f>
        <v>14768.115</v>
      </c>
      <c r="T16" s="231"/>
      <c r="U16" s="231">
        <f>I17</f>
        <v>14768.115</v>
      </c>
      <c r="V16" s="231"/>
      <c r="W16" s="231">
        <f>I17</f>
        <v>14768.115</v>
      </c>
      <c r="X16" s="231"/>
      <c r="Y16" s="231">
        <f>I17</f>
        <v>14768.115</v>
      </c>
      <c r="Z16" s="232"/>
    </row>
    <row r="17" spans="2:29" x14ac:dyDescent="0.3">
      <c r="B17" s="13" t="s">
        <v>9</v>
      </c>
      <c r="C17" s="14"/>
      <c r="D17" s="20">
        <f>CHOOSE(D12,I13,K13,M13)</f>
        <v>2.4999999999999998E-2</v>
      </c>
      <c r="E17" s="14"/>
      <c r="F17" s="14"/>
      <c r="G17" s="14" t="s">
        <v>141</v>
      </c>
      <c r="H17" s="14"/>
      <c r="I17" s="240" cm="1">
        <f t="array" ref="I17">_xldudf_WISE(C2,"Weighted Average Shs Out Dil","TTM")/1000000</f>
        <v>14768.115</v>
      </c>
      <c r="J17" s="240"/>
      <c r="K17" s="14"/>
      <c r="L17" s="14"/>
      <c r="M17" s="14"/>
      <c r="N17" s="21"/>
      <c r="P17" s="13" t="s">
        <v>55</v>
      </c>
      <c r="Q17" s="14"/>
      <c r="R17" s="14"/>
      <c r="S17" s="233">
        <f ca="1">S15/S16</f>
        <v>173.48113817908779</v>
      </c>
      <c r="T17" s="233"/>
      <c r="U17" s="233">
        <f>U15/U16</f>
        <v>132.91787258429247</v>
      </c>
      <c r="V17" s="233"/>
      <c r="W17" s="233">
        <f>W15/W16</f>
        <v>200.36150642579651</v>
      </c>
      <c r="X17" s="233"/>
      <c r="Y17" s="233">
        <f>Y15/Y16</f>
        <v>318.58735982285975</v>
      </c>
      <c r="Z17" s="234"/>
      <c r="AB17" s="1"/>
      <c r="AC17" s="1"/>
    </row>
    <row r="18" spans="2:29" x14ac:dyDescent="0.3">
      <c r="AB18" s="1"/>
      <c r="AC18" s="1"/>
    </row>
    <row r="19" spans="2:29" x14ac:dyDescent="0.3">
      <c r="B19" s="3" t="s">
        <v>18</v>
      </c>
      <c r="C19" s="4"/>
      <c r="D19" s="4"/>
      <c r="E19" s="24">
        <v>2014</v>
      </c>
      <c r="F19" s="4">
        <f t="shared" ref="F19:J19" si="3">G19-1</f>
        <v>2017</v>
      </c>
      <c r="G19" s="4">
        <f t="shared" si="3"/>
        <v>2018</v>
      </c>
      <c r="H19" s="4">
        <f t="shared" si="3"/>
        <v>2019</v>
      </c>
      <c r="I19" s="4">
        <f t="shared" si="3"/>
        <v>2020</v>
      </c>
      <c r="J19" s="4">
        <f t="shared" si="3"/>
        <v>2021</v>
      </c>
      <c r="K19" s="4">
        <f>L19-1</f>
        <v>2022</v>
      </c>
      <c r="L19" s="4">
        <v>2023</v>
      </c>
      <c r="M19" s="25">
        <f>L19+1</f>
        <v>2024</v>
      </c>
      <c r="N19" s="26">
        <f>M19+1</f>
        <v>2025</v>
      </c>
      <c r="P19" s="3" t="s">
        <v>8</v>
      </c>
      <c r="Q19" s="4"/>
      <c r="R19" s="4"/>
      <c r="S19" s="4"/>
      <c r="T19" s="75"/>
      <c r="U19" s="75"/>
      <c r="V19" s="75"/>
      <c r="W19" s="75"/>
      <c r="X19" s="75"/>
      <c r="Y19" s="75"/>
      <c r="Z19" s="76"/>
      <c r="AB19" s="1"/>
      <c r="AC19" s="1"/>
    </row>
    <row r="20" spans="2:29" x14ac:dyDescent="0.3">
      <c r="B20" s="5"/>
      <c r="N20" s="6"/>
      <c r="P20" s="5"/>
      <c r="Z20" s="6"/>
      <c r="AB20" s="1"/>
      <c r="AC20" s="1"/>
    </row>
    <row r="21" spans="2:29" x14ac:dyDescent="0.3">
      <c r="B21" s="215" t="s">
        <v>19</v>
      </c>
      <c r="C21" s="216"/>
      <c r="D21" s="216"/>
      <c r="E21" s="27" cm="1">
        <f t="array" ref="E21">_xldudf_WISE($C$2,$B21,E$19)/1000000</f>
        <v>182795</v>
      </c>
      <c r="F21" s="28" cm="1">
        <f t="array" ref="F21:L21">_xldudf_WISE($C$2,$B21,F$19:L$19)/1000000</f>
        <v>229234</v>
      </c>
      <c r="G21" s="28">
        <v>265595</v>
      </c>
      <c r="H21" s="28">
        <v>260174</v>
      </c>
      <c r="I21" s="28">
        <v>274515</v>
      </c>
      <c r="J21" s="28">
        <v>365817</v>
      </c>
      <c r="K21" s="28">
        <v>394328</v>
      </c>
      <c r="L21" s="28">
        <v>383285</v>
      </c>
      <c r="M21" s="29" cm="1">
        <f t="array" ref="M21">_xldudf_WISE($C$2,"Estimated Revenue AVG",M19)/1000000</f>
        <v>390480.70177300001</v>
      </c>
      <c r="N21" s="30" cm="1">
        <f t="array" ref="N21">_xldudf_WISE($C$2,"Estimated Revenue AVG",N19)/1000000</f>
        <v>415406.88237499999</v>
      </c>
      <c r="P21" s="7" t="s">
        <v>33</v>
      </c>
      <c r="T21" s="70" t="s">
        <v>40</v>
      </c>
      <c r="W21" s="70" t="s">
        <v>44</v>
      </c>
      <c r="Z21" s="6"/>
      <c r="AB21" s="1"/>
      <c r="AC21" s="1"/>
    </row>
    <row r="22" spans="2:29" x14ac:dyDescent="0.3">
      <c r="B22" s="31" t="s">
        <v>28</v>
      </c>
      <c r="E22" s="27"/>
      <c r="F22" s="32">
        <f>F21/E21-1</f>
        <v>0.25404961842501161</v>
      </c>
      <c r="G22" s="32">
        <f>G21/F21-1</f>
        <v>0.15861957650261305</v>
      </c>
      <c r="H22" s="32">
        <f t="shared" ref="H22:K22" si="4">H21/G21-1</f>
        <v>-2.04107758052674E-2</v>
      </c>
      <c r="I22" s="32">
        <f t="shared" si="4"/>
        <v>5.5120803769784787E-2</v>
      </c>
      <c r="J22" s="32">
        <f t="shared" si="4"/>
        <v>0.33259384733074704</v>
      </c>
      <c r="K22" s="32">
        <f t="shared" si="4"/>
        <v>7.7937876041846099E-2</v>
      </c>
      <c r="L22" s="32">
        <f>L21/K21-1</f>
        <v>-2.800460530319937E-2</v>
      </c>
      <c r="M22" s="32">
        <f t="shared" ref="M22:N22" si="5">M21/L21-1</f>
        <v>1.8773763056211479E-2</v>
      </c>
      <c r="N22" s="33">
        <f t="shared" si="5"/>
        <v>6.3834603064431228E-2</v>
      </c>
      <c r="P22" s="5" t="s">
        <v>57</v>
      </c>
      <c r="S22" s="78" cm="1">
        <f t="array" ref="S22">_xldudf_WISE(C2,"interest expense","TTM")/1000000</f>
        <v>0</v>
      </c>
      <c r="T22" t="s">
        <v>41</v>
      </c>
      <c r="V22" s="79">
        <f>I15</f>
        <v>3.44E-2</v>
      </c>
      <c r="W22" t="s">
        <v>58</v>
      </c>
      <c r="Y22" s="10">
        <f>S23</f>
        <v>264591</v>
      </c>
      <c r="Z22" s="8">
        <f>Y22/Y24</f>
        <v>5.2139238833323845E-2</v>
      </c>
      <c r="AB22" s="1"/>
      <c r="AC22" s="1"/>
    </row>
    <row r="23" spans="2:29" x14ac:dyDescent="0.3">
      <c r="B23" s="5"/>
      <c r="E23" s="27"/>
      <c r="N23" s="6"/>
      <c r="P23" s="5" t="s">
        <v>58</v>
      </c>
      <c r="S23" s="78" cm="1">
        <f t="array" ref="S23">_xldudf_WISE(C2,"total liabilities","TTM")/1000000</f>
        <v>264591</v>
      </c>
      <c r="T23" t="s">
        <v>42</v>
      </c>
      <c r="V23" s="66" cm="1">
        <f t="array" ref="V23">_xldudf_WISEPRICE(C2,"beta")</f>
        <v>1.097</v>
      </c>
      <c r="W23" t="s">
        <v>45</v>
      </c>
      <c r="Y23" s="11" cm="1">
        <f t="array" ref="Y23">_xldudf_WISEPRICE(C2,"Market Cap")/1000000</f>
        <v>4810109.09</v>
      </c>
      <c r="Z23" s="8">
        <f>Y23/Y24</f>
        <v>0.94786076116667617</v>
      </c>
      <c r="AB23" s="1"/>
      <c r="AC23" s="1"/>
    </row>
    <row r="24" spans="2:29" x14ac:dyDescent="0.3">
      <c r="B24" s="5" t="s">
        <v>20</v>
      </c>
      <c r="E24" s="27" cm="1">
        <f t="array" ref="E24">_xldudf_WISE($C$2,"Operating income",E$19)/1000000</f>
        <v>52503</v>
      </c>
      <c r="F24" s="28" cm="1">
        <f t="array" ref="F24:L24">_xldudf_WISE($C$2,"Operating income",F$19:L$19)/1000000</f>
        <v>61344</v>
      </c>
      <c r="G24" s="28">
        <v>70898</v>
      </c>
      <c r="H24" s="28">
        <v>63930</v>
      </c>
      <c r="I24" s="28">
        <v>66288</v>
      </c>
      <c r="J24" s="28">
        <v>108949</v>
      </c>
      <c r="K24" s="28">
        <v>119437</v>
      </c>
      <c r="L24" s="28">
        <v>114301</v>
      </c>
      <c r="M24" s="29" cm="1">
        <f t="array" ref="M24">_xldudf_WISE($C$2,"Estimated EBIT AVG",M19)/1000000</f>
        <v>130782.447468</v>
      </c>
      <c r="N24" s="30" cm="1">
        <f t="array" ref="N24">_xldudf_WISE($C$2,"Estimated EBIT AVG",N19)/1000000</f>
        <v>139130.89309</v>
      </c>
      <c r="P24" s="5" t="s">
        <v>36</v>
      </c>
      <c r="S24" s="19">
        <f>S22/S23</f>
        <v>0</v>
      </c>
      <c r="T24" t="s">
        <v>43</v>
      </c>
      <c r="V24" s="79">
        <f>I16</f>
        <v>0.09</v>
      </c>
      <c r="W24" t="s">
        <v>46</v>
      </c>
      <c r="Y24" s="88">
        <f>SUM(Y22:Y23)</f>
        <v>5074700.09</v>
      </c>
      <c r="Z24" s="6"/>
      <c r="AB24" s="1"/>
      <c r="AC24" s="1"/>
    </row>
    <row r="25" spans="2:29" x14ac:dyDescent="0.3">
      <c r="B25" s="31" t="s">
        <v>21</v>
      </c>
      <c r="E25" s="27"/>
      <c r="F25" s="32">
        <f>F24/F21</f>
        <v>0.26760428208729942</v>
      </c>
      <c r="G25" s="32">
        <f t="shared" ref="G25:L25" si="6">G24/G21</f>
        <v>0.26694026619477024</v>
      </c>
      <c r="H25" s="32">
        <f t="shared" si="6"/>
        <v>0.24572017188496928</v>
      </c>
      <c r="I25" s="32">
        <f t="shared" si="6"/>
        <v>0.24147314354406862</v>
      </c>
      <c r="J25" s="32">
        <f t="shared" si="6"/>
        <v>0.29782377527561593</v>
      </c>
      <c r="K25" s="32">
        <f t="shared" si="6"/>
        <v>0.30288744395528594</v>
      </c>
      <c r="L25" s="32">
        <f t="shared" si="6"/>
        <v>0.29821412265024722</v>
      </c>
      <c r="M25" s="32">
        <f t="shared" ref="M25" si="7">M24/M21</f>
        <v>0.33492678863302283</v>
      </c>
      <c r="N25" s="33">
        <f t="shared" ref="N25" si="8">N24/N21</f>
        <v>0.33492678863322839</v>
      </c>
      <c r="P25" s="5" t="s">
        <v>59</v>
      </c>
      <c r="S25" s="78" cm="1">
        <f t="array" ref="S25">_xldudf_WISE(C2,"income tax expense","TTM")/1000000</f>
        <v>25095</v>
      </c>
      <c r="T25" t="s">
        <v>39</v>
      </c>
      <c r="V25" s="19">
        <f>(V22)+(V23)*(V24-V22)</f>
        <v>9.5393199999999997E-2</v>
      </c>
      <c r="Z25" s="6"/>
      <c r="AB25" s="1"/>
      <c r="AC25" s="1"/>
    </row>
    <row r="26" spans="2:29" x14ac:dyDescent="0.3">
      <c r="B26" s="5"/>
      <c r="E26" s="27"/>
      <c r="N26" s="6"/>
      <c r="P26" s="5" t="s">
        <v>60</v>
      </c>
      <c r="S26" s="78" cm="1">
        <f t="array" ref="S26">_xldudf_WISE(C2,"Income Before Tax","TTM")/1000000</f>
        <v>147670</v>
      </c>
      <c r="Z26" s="6"/>
      <c r="AB26" s="1"/>
      <c r="AC26" s="1"/>
    </row>
    <row r="27" spans="2:29" x14ac:dyDescent="0.3">
      <c r="B27" s="5" t="s">
        <v>5</v>
      </c>
      <c r="E27" s="27" cm="1">
        <f t="array" ref="E27">_xldudf_WISE($C$2,"Income Tax expense",E$19)/1000000</f>
        <v>13973</v>
      </c>
      <c r="F27" s="28" cm="1">
        <f t="array" ref="F27:L27">_xldudf_WISE($C$2,"Income Tax expense",F$19:L$19)/1000000</f>
        <v>15738</v>
      </c>
      <c r="G27" s="28">
        <v>13372</v>
      </c>
      <c r="H27" s="28">
        <v>10481</v>
      </c>
      <c r="I27" s="28">
        <v>9680</v>
      </c>
      <c r="J27" s="28">
        <v>14527</v>
      </c>
      <c r="K27" s="28">
        <v>19300</v>
      </c>
      <c r="L27" s="28">
        <v>16741</v>
      </c>
      <c r="M27" s="29">
        <f>M24*M28</f>
        <v>19242.162903726261</v>
      </c>
      <c r="N27" s="30">
        <f>N24*N28</f>
        <v>21110.177749198159</v>
      </c>
      <c r="P27" s="5" t="s">
        <v>37</v>
      </c>
      <c r="S27" s="19">
        <f>S25/S26</f>
        <v>0.16993973048012459</v>
      </c>
      <c r="W27" s="70" t="s">
        <v>8</v>
      </c>
      <c r="Z27" s="62">
        <f>(S24*Z22)+(V25*Z23)</f>
        <v>9.0419471162124967E-2</v>
      </c>
      <c r="AB27" s="1"/>
      <c r="AC27" s="1"/>
    </row>
    <row r="28" spans="2:29" x14ac:dyDescent="0.3">
      <c r="B28" s="34" t="s">
        <v>22</v>
      </c>
      <c r="C28" s="14"/>
      <c r="D28" s="14"/>
      <c r="E28" s="14"/>
      <c r="F28" s="35">
        <f>F27/F24</f>
        <v>0.25655320813771521</v>
      </c>
      <c r="G28" s="35">
        <f t="shared" ref="G28:L28" si="9">G27/G24</f>
        <v>0.18860898755959266</v>
      </c>
      <c r="H28" s="35">
        <f t="shared" si="9"/>
        <v>0.16394493977788205</v>
      </c>
      <c r="I28" s="35">
        <f t="shared" si="9"/>
        <v>0.14602944726043929</v>
      </c>
      <c r="J28" s="35">
        <f t="shared" si="9"/>
        <v>0.13333761668303518</v>
      </c>
      <c r="K28" s="35">
        <f t="shared" si="9"/>
        <v>0.16159146663094351</v>
      </c>
      <c r="L28" s="35">
        <f t="shared" si="9"/>
        <v>0.14646416041854401</v>
      </c>
      <c r="M28" s="36">
        <f>AVERAGE(J28:L28)</f>
        <v>0.14713108124417426</v>
      </c>
      <c r="N28" s="37">
        <f>AVERAGE(K28:M28)</f>
        <v>0.15172890276455395</v>
      </c>
      <c r="P28" s="13" t="s">
        <v>38</v>
      </c>
      <c r="Q28" s="14"/>
      <c r="R28" s="14"/>
      <c r="S28" s="80">
        <f>S24*(1-S27)</f>
        <v>0</v>
      </c>
      <c r="T28" s="14"/>
      <c r="U28" s="14"/>
      <c r="V28" s="14"/>
      <c r="W28" s="14"/>
      <c r="X28" s="14"/>
      <c r="Y28" s="14"/>
      <c r="Z28" s="21"/>
      <c r="AB28" s="1"/>
      <c r="AC28" s="1"/>
    </row>
    <row r="29" spans="2:29" x14ac:dyDescent="0.3">
      <c r="AB29" s="1"/>
      <c r="AC29" s="1"/>
    </row>
    <row r="30" spans="2:29" x14ac:dyDescent="0.3">
      <c r="B30" s="3" t="s">
        <v>23</v>
      </c>
      <c r="C30" s="4"/>
      <c r="D30" s="4"/>
      <c r="E30" s="4"/>
      <c r="F30" s="4">
        <f t="shared" ref="F30:K30" si="10">F19</f>
        <v>2017</v>
      </c>
      <c r="G30" s="4">
        <f t="shared" si="10"/>
        <v>2018</v>
      </c>
      <c r="H30" s="4">
        <f t="shared" si="10"/>
        <v>2019</v>
      </c>
      <c r="I30" s="4">
        <f t="shared" si="10"/>
        <v>2020</v>
      </c>
      <c r="J30" s="4">
        <f t="shared" si="10"/>
        <v>2021</v>
      </c>
      <c r="K30" s="4">
        <f t="shared" si="10"/>
        <v>2022</v>
      </c>
      <c r="L30" s="4">
        <f>L19</f>
        <v>2023</v>
      </c>
      <c r="M30" s="25">
        <f>M19</f>
        <v>2024</v>
      </c>
      <c r="N30" s="26">
        <f>N19</f>
        <v>2025</v>
      </c>
      <c r="P30" s="149"/>
      <c r="Q30" s="27"/>
      <c r="R30" s="27"/>
      <c r="S30" s="27"/>
      <c r="T30" s="27"/>
      <c r="U30" s="27"/>
      <c r="V30" s="27"/>
      <c r="AB30" s="1"/>
      <c r="AC30" s="1"/>
    </row>
    <row r="31" spans="2:29" x14ac:dyDescent="0.3">
      <c r="B31" s="5"/>
      <c r="N31" s="6"/>
      <c r="Q31" s="149"/>
      <c r="R31" s="149"/>
      <c r="S31" s="149"/>
      <c r="T31" s="149"/>
      <c r="U31" s="149"/>
      <c r="V31" s="149"/>
      <c r="W31" s="149"/>
      <c r="X31" s="149"/>
      <c r="Y31" s="149"/>
      <c r="Z31" s="149"/>
      <c r="AB31" s="1"/>
      <c r="AC31" s="1"/>
    </row>
    <row r="32" spans="2:29" x14ac:dyDescent="0.3">
      <c r="B32" s="5" t="s">
        <v>6</v>
      </c>
      <c r="F32" s="28" cm="1">
        <f t="array" ref="F32:L32">_xldudf_WISE($C$2,"Depreciation And Amortization",F30:L30)/1000000</f>
        <v>10157</v>
      </c>
      <c r="G32" s="28">
        <v>10903</v>
      </c>
      <c r="H32" s="28">
        <v>12547</v>
      </c>
      <c r="I32" s="28">
        <v>11056</v>
      </c>
      <c r="J32" s="28">
        <v>11284</v>
      </c>
      <c r="K32" s="28">
        <v>11104</v>
      </c>
      <c r="L32" s="28">
        <v>11519</v>
      </c>
      <c r="M32" s="29">
        <f>M21*M33</f>
        <v>11591.898298494178</v>
      </c>
      <c r="N32" s="30">
        <f>N21*N33</f>
        <v>12171.266464488805</v>
      </c>
      <c r="P32" s="192"/>
      <c r="Q32" s="91" t="str">
        <f>S4</f>
        <v>Switches</v>
      </c>
      <c r="R32" s="91" t="str">
        <f>U4</f>
        <v>Conservative case</v>
      </c>
      <c r="S32" s="91" t="str">
        <f>W4</f>
        <v>Base case</v>
      </c>
      <c r="T32" s="91" t="str">
        <f>Y4</f>
        <v>Optimistic case</v>
      </c>
      <c r="U32" s="197"/>
      <c r="V32" s="190"/>
      <c r="W32" s="190"/>
      <c r="X32" s="190"/>
      <c r="Y32" s="190"/>
      <c r="Z32" s="190"/>
      <c r="AB32" s="1"/>
      <c r="AC32" s="1"/>
    </row>
    <row r="33" spans="2:29" x14ac:dyDescent="0.3">
      <c r="B33" s="31" t="s">
        <v>21</v>
      </c>
      <c r="F33" s="32">
        <f>F32/F21</f>
        <v>4.4308435921372923E-2</v>
      </c>
      <c r="G33" s="32">
        <f t="shared" ref="G33:L33" si="11">G32/G21</f>
        <v>4.1051224608897006E-2</v>
      </c>
      <c r="H33" s="32">
        <f t="shared" si="11"/>
        <v>4.8225418373857493E-2</v>
      </c>
      <c r="I33" s="32">
        <f t="shared" si="11"/>
        <v>4.0274666229532081E-2</v>
      </c>
      <c r="J33" s="32">
        <f t="shared" si="11"/>
        <v>3.084602410494865E-2</v>
      </c>
      <c r="K33" s="32">
        <f t="shared" si="11"/>
        <v>2.8159298857803657E-2</v>
      </c>
      <c r="L33" s="32">
        <f t="shared" si="11"/>
        <v>3.0053354553400212E-2</v>
      </c>
      <c r="M33" s="38">
        <f>AVERAGE(J33:L33)</f>
        <v>2.9686225838717505E-2</v>
      </c>
      <c r="N33" s="39">
        <f>AVERAGE(K33:M33)</f>
        <v>2.9299626416640457E-2</v>
      </c>
      <c r="P33" s="192"/>
      <c r="Q33" s="92">
        <f ca="1">S5</f>
        <v>173.48113817908779</v>
      </c>
      <c r="R33" s="92">
        <f>U5</f>
        <v>132.91787258429247</v>
      </c>
      <c r="S33" s="92">
        <f>W5</f>
        <v>200.36150642579651</v>
      </c>
      <c r="T33" s="92">
        <f>Y5</f>
        <v>318.58735982285975</v>
      </c>
      <c r="U33" s="198"/>
      <c r="V33" s="66"/>
      <c r="W33" s="66"/>
      <c r="X33" s="66"/>
      <c r="Y33" s="66"/>
      <c r="Z33" s="66"/>
      <c r="AB33" s="1"/>
      <c r="AC33" s="1"/>
    </row>
    <row r="34" spans="2:29" x14ac:dyDescent="0.3">
      <c r="B34" s="31" t="s">
        <v>24</v>
      </c>
      <c r="F34" s="32">
        <f>F32/F36</f>
        <v>0.79382571316920669</v>
      </c>
      <c r="G34" s="32">
        <f t="shared" ref="G34:N34" si="12">G32/G36</f>
        <v>0.81897393525125817</v>
      </c>
      <c r="H34" s="32">
        <f t="shared" si="12"/>
        <v>1.1955216769890424</v>
      </c>
      <c r="I34" s="32">
        <f t="shared" si="12"/>
        <v>1.5126556300451499</v>
      </c>
      <c r="J34" s="32">
        <f t="shared" si="12"/>
        <v>1.0179521876409563</v>
      </c>
      <c r="K34" s="32">
        <f t="shared" si="12"/>
        <v>1.0369816959282778</v>
      </c>
      <c r="L34" s="32">
        <f t="shared" si="12"/>
        <v>1.0510995528789122</v>
      </c>
      <c r="M34" s="32">
        <f t="shared" si="12"/>
        <v>1.0349715616730195</v>
      </c>
      <c r="N34" s="33">
        <f t="shared" si="12"/>
        <v>1.0410798014856646</v>
      </c>
      <c r="P34" s="192"/>
      <c r="Q34" s="93">
        <f>G2</f>
        <v>327.5</v>
      </c>
      <c r="R34" s="93">
        <f>Q34</f>
        <v>327.5</v>
      </c>
      <c r="S34" s="93">
        <f>R34</f>
        <v>327.5</v>
      </c>
      <c r="T34" s="93">
        <f>S34</f>
        <v>327.5</v>
      </c>
      <c r="U34" s="198"/>
      <c r="V34" s="66"/>
      <c r="W34" s="66"/>
      <c r="X34" s="66"/>
      <c r="Y34" s="66"/>
      <c r="Z34" s="66"/>
      <c r="AB34" s="1"/>
      <c r="AC34" s="1"/>
    </row>
    <row r="35" spans="2:29" x14ac:dyDescent="0.3">
      <c r="B35" s="5"/>
      <c r="N35" s="6"/>
      <c r="P35" s="192"/>
      <c r="Q35" s="190"/>
      <c r="R35" s="66"/>
      <c r="S35" s="66"/>
      <c r="T35" s="66"/>
      <c r="U35" s="66"/>
      <c r="V35" s="66"/>
      <c r="W35" s="66"/>
      <c r="X35" s="66"/>
      <c r="Y35" s="66"/>
      <c r="Z35" s="66"/>
      <c r="AB35" s="1"/>
      <c r="AC35" s="1"/>
    </row>
    <row r="36" spans="2:29" x14ac:dyDescent="0.3">
      <c r="B36" s="5" t="s">
        <v>7</v>
      </c>
      <c r="F36" s="40" cm="1">
        <f t="array" ref="F36:L36">-_xldudf_WISE($C$2,"Capital Expenditure",F30:L30)/1000000</f>
        <v>12795</v>
      </c>
      <c r="G36" s="40">
        <v>13313</v>
      </c>
      <c r="H36" s="40">
        <v>10495</v>
      </c>
      <c r="I36" s="40">
        <v>7309</v>
      </c>
      <c r="J36" s="40">
        <v>11085</v>
      </c>
      <c r="K36" s="40">
        <v>10708</v>
      </c>
      <c r="L36" s="40">
        <v>10959</v>
      </c>
      <c r="M36" s="29">
        <f>M21*M37</f>
        <v>11200.209481848959</v>
      </c>
      <c r="N36" s="30">
        <f>N21*N37</f>
        <v>11691.002406462881</v>
      </c>
      <c r="P36" s="192"/>
      <c r="Q36" s="190"/>
      <c r="R36" s="66"/>
      <c r="S36" s="66"/>
      <c r="T36" s="66"/>
      <c r="U36" s="66"/>
      <c r="V36" s="66"/>
      <c r="W36" s="66"/>
      <c r="X36" s="66"/>
      <c r="Y36" s="66"/>
      <c r="Z36" s="66"/>
      <c r="AB36" s="1"/>
      <c r="AC36" s="1"/>
    </row>
    <row r="37" spans="2:29" x14ac:dyDescent="0.3">
      <c r="B37" s="31" t="s">
        <v>21</v>
      </c>
      <c r="F37" s="32">
        <f>F36/F21</f>
        <v>5.5816327420888698E-2</v>
      </c>
      <c r="G37" s="32">
        <f t="shared" ref="G37:L37" si="13">G36/G21</f>
        <v>5.0125190609762983E-2</v>
      </c>
      <c r="H37" s="32">
        <f t="shared" si="13"/>
        <v>4.033838892433525E-2</v>
      </c>
      <c r="I37" s="32">
        <f t="shared" si="13"/>
        <v>2.6625138881299748E-2</v>
      </c>
      <c r="J37" s="32">
        <f t="shared" si="13"/>
        <v>3.0302036264033657E-2</v>
      </c>
      <c r="K37" s="32">
        <f t="shared" si="13"/>
        <v>2.7155058732831552E-2</v>
      </c>
      <c r="L37" s="32">
        <f t="shared" si="13"/>
        <v>2.859230076835775E-2</v>
      </c>
      <c r="M37" s="38">
        <f>AVERAGE(J37:L37)</f>
        <v>2.8683131921740986E-2</v>
      </c>
      <c r="N37" s="39">
        <f>AVERAGE(K37:M37)</f>
        <v>2.8143497140976761E-2</v>
      </c>
      <c r="P37" s="192"/>
      <c r="Q37" s="190"/>
      <c r="R37" s="66"/>
      <c r="S37" s="66"/>
      <c r="T37" s="66"/>
      <c r="U37" s="66"/>
      <c r="V37" s="66"/>
      <c r="W37" s="66"/>
      <c r="X37" s="66"/>
      <c r="Y37" s="66"/>
      <c r="Z37" s="66"/>
      <c r="AB37" s="1"/>
      <c r="AC37" s="1"/>
    </row>
    <row r="38" spans="2:29" x14ac:dyDescent="0.3">
      <c r="B38" s="5"/>
      <c r="N38" s="6"/>
      <c r="P38" s="192"/>
      <c r="Q38" s="190"/>
      <c r="R38" s="66"/>
      <c r="S38" s="66"/>
      <c r="T38" s="66"/>
      <c r="U38" s="66"/>
      <c r="V38" s="66"/>
      <c r="W38" s="66"/>
      <c r="X38" s="66"/>
      <c r="Y38" s="66"/>
      <c r="Z38" s="66"/>
      <c r="AB38" s="1"/>
      <c r="AC38" s="1"/>
    </row>
    <row r="39" spans="2:29" x14ac:dyDescent="0.3">
      <c r="B39" s="5" t="s">
        <v>25</v>
      </c>
      <c r="F39" s="41" cm="1">
        <f t="array" ref="F39:L39">_xldudf_WISE($C$2,"Change In Working Capital",F30:L30)/1000000</f>
        <v>-4923</v>
      </c>
      <c r="G39" s="41">
        <v>34694</v>
      </c>
      <c r="H39" s="41">
        <v>-3488</v>
      </c>
      <c r="I39" s="41">
        <v>5690</v>
      </c>
      <c r="J39" s="41">
        <v>-4911</v>
      </c>
      <c r="K39" s="41">
        <v>1200</v>
      </c>
      <c r="L39" s="41">
        <v>-6577</v>
      </c>
      <c r="M39" s="42">
        <f>M40*M21</f>
        <v>-3584.7622878326633</v>
      </c>
      <c r="N39" s="43">
        <f>N40*N21</f>
        <v>-3225.881709618332</v>
      </c>
      <c r="P39" s="192"/>
      <c r="Q39" s="190"/>
      <c r="R39" s="66"/>
      <c r="S39" s="66"/>
      <c r="T39" s="66"/>
      <c r="U39" s="66"/>
      <c r="V39" s="66"/>
      <c r="W39" s="66"/>
      <c r="X39" s="66"/>
      <c r="Y39" s="66"/>
      <c r="Z39" s="66"/>
      <c r="AB39" s="1"/>
      <c r="AC39" s="1"/>
    </row>
    <row r="40" spans="2:29" x14ac:dyDescent="0.3">
      <c r="B40" s="31" t="s">
        <v>21</v>
      </c>
      <c r="F40" s="32">
        <f>F39/F21</f>
        <v>-2.1475871816571714E-2</v>
      </c>
      <c r="G40" s="32">
        <f t="shared" ref="G40:L40" si="14">G39/G21</f>
        <v>0.13062745910126319</v>
      </c>
      <c r="H40" s="32">
        <f t="shared" si="14"/>
        <v>-1.340641263154658E-2</v>
      </c>
      <c r="I40" s="32">
        <f t="shared" si="14"/>
        <v>2.0727464801559112E-2</v>
      </c>
      <c r="J40" s="32">
        <f t="shared" si="14"/>
        <v>-1.3424745159464978E-2</v>
      </c>
      <c r="K40" s="32">
        <f t="shared" si="14"/>
        <v>3.0431518938548621E-3</v>
      </c>
      <c r="L40" s="32">
        <f t="shared" si="14"/>
        <v>-1.7159554900400484E-2</v>
      </c>
      <c r="M40" s="38">
        <f>AVERAGE(J40:L40)</f>
        <v>-9.1803827220035324E-3</v>
      </c>
      <c r="N40" s="39">
        <f>AVERAGE(K40:M40)</f>
        <v>-7.765595242849717E-3</v>
      </c>
      <c r="P40" s="192"/>
      <c r="Q40" s="191"/>
      <c r="R40" s="66"/>
      <c r="S40" s="66"/>
      <c r="T40" s="66"/>
      <c r="U40" s="66"/>
      <c r="V40" s="66"/>
      <c r="W40" s="66"/>
      <c r="X40" s="66"/>
      <c r="Y40" s="66"/>
      <c r="Z40" s="66"/>
      <c r="AB40" s="1"/>
      <c r="AC40" s="1"/>
    </row>
    <row r="41" spans="2:29" x14ac:dyDescent="0.3">
      <c r="B41" s="34" t="s">
        <v>26</v>
      </c>
      <c r="C41" s="14"/>
      <c r="D41" s="14"/>
      <c r="E41" s="14"/>
      <c r="F41" s="14"/>
      <c r="G41" s="35">
        <f>G39/(G21-F21)</f>
        <v>0.95415417617777287</v>
      </c>
      <c r="H41" s="35">
        <f t="shared" ref="H41:N41" si="15">H39/(H21-G21)</f>
        <v>0.64342372256041325</v>
      </c>
      <c r="I41" s="35">
        <f t="shared" si="15"/>
        <v>0.39676452130255907</v>
      </c>
      <c r="J41" s="35">
        <f t="shared" si="15"/>
        <v>-5.3788525990668329E-2</v>
      </c>
      <c r="K41" s="35">
        <f t="shared" si="15"/>
        <v>4.2089018273648769E-2</v>
      </c>
      <c r="L41" s="35">
        <f t="shared" si="15"/>
        <v>0.59558091098433397</v>
      </c>
      <c r="M41" s="35">
        <f t="shared" si="15"/>
        <v>-0.49818105320644995</v>
      </c>
      <c r="N41" s="44">
        <f t="shared" si="15"/>
        <v>-0.1294174089936386</v>
      </c>
      <c r="P41" s="192"/>
      <c r="Q41" s="190"/>
      <c r="R41" s="66"/>
      <c r="S41" s="66"/>
      <c r="T41" s="66"/>
      <c r="U41" s="66"/>
      <c r="V41" s="66"/>
      <c r="W41" s="66"/>
      <c r="X41" s="66"/>
      <c r="Y41" s="66"/>
      <c r="Z41" s="66"/>
      <c r="AB41" s="1"/>
      <c r="AC41" s="1"/>
    </row>
    <row r="42" spans="2:29" x14ac:dyDescent="0.3">
      <c r="AB42" s="1"/>
      <c r="AC42" s="1"/>
    </row>
    <row r="43" spans="2:29" x14ac:dyDescent="0.3">
      <c r="B43" s="3" t="s">
        <v>27</v>
      </c>
      <c r="C43" s="4"/>
      <c r="D43" s="4"/>
      <c r="E43" s="4"/>
      <c r="F43" s="4">
        <f t="shared" ref="F43:K43" si="16">F19</f>
        <v>2017</v>
      </c>
      <c r="G43" s="4">
        <f t="shared" si="16"/>
        <v>2018</v>
      </c>
      <c r="H43" s="4">
        <f t="shared" si="16"/>
        <v>2019</v>
      </c>
      <c r="I43" s="4">
        <f t="shared" si="16"/>
        <v>2020</v>
      </c>
      <c r="J43" s="4">
        <f t="shared" si="16"/>
        <v>2021</v>
      </c>
      <c r="K43" s="4">
        <f t="shared" si="16"/>
        <v>2022</v>
      </c>
      <c r="L43" s="4">
        <f>L19</f>
        <v>2023</v>
      </c>
      <c r="M43" s="25">
        <f>M19</f>
        <v>2024</v>
      </c>
      <c r="N43" s="25">
        <f>M43+1</f>
        <v>2025</v>
      </c>
      <c r="O43" s="25">
        <f t="shared" ref="O43:S43" si="17">N43+1</f>
        <v>2026</v>
      </c>
      <c r="P43" s="25">
        <f t="shared" si="17"/>
        <v>2027</v>
      </c>
      <c r="Q43" s="25">
        <f t="shared" si="17"/>
        <v>2028</v>
      </c>
      <c r="R43" s="25">
        <f t="shared" si="17"/>
        <v>2029</v>
      </c>
      <c r="S43" s="26">
        <f t="shared" si="17"/>
        <v>2030</v>
      </c>
      <c r="T43" s="27"/>
      <c r="U43" s="27"/>
      <c r="V43" s="27"/>
      <c r="W43" s="27"/>
      <c r="X43" s="27"/>
      <c r="Y43" s="27"/>
    </row>
    <row r="44" spans="2:29" x14ac:dyDescent="0.3">
      <c r="B44" s="5"/>
      <c r="S44" s="6"/>
      <c r="T44" s="27"/>
      <c r="Y44" s="193"/>
    </row>
    <row r="45" spans="2:29" x14ac:dyDescent="0.3">
      <c r="B45" s="5" t="s">
        <v>19</v>
      </c>
      <c r="F45" s="45">
        <f>F21</f>
        <v>229234</v>
      </c>
      <c r="G45" s="45">
        <f t="shared" ref="G45:L45" si="18">G21</f>
        <v>265595</v>
      </c>
      <c r="H45" s="45">
        <f t="shared" si="18"/>
        <v>260174</v>
      </c>
      <c r="I45" s="45">
        <f t="shared" si="18"/>
        <v>274515</v>
      </c>
      <c r="J45" s="45">
        <f t="shared" si="18"/>
        <v>365817</v>
      </c>
      <c r="K45" s="45">
        <f t="shared" si="18"/>
        <v>394328</v>
      </c>
      <c r="L45" s="45">
        <f t="shared" si="18"/>
        <v>383285</v>
      </c>
      <c r="M45" s="29">
        <f ca="1">L45*(1+M46)</f>
        <v>390480.70177300001</v>
      </c>
      <c r="N45" s="29">
        <f t="shared" ref="N45:S45" ca="1" si="19">M45*(1+N46)</f>
        <v>415406.88237499999</v>
      </c>
      <c r="O45" s="29">
        <f t="shared" ca="1" si="19"/>
        <v>440487.46848966822</v>
      </c>
      <c r="P45" s="29">
        <f t="shared" ca="1" si="19"/>
        <v>465558.82655485696</v>
      </c>
      <c r="Q45" s="29">
        <f t="shared" ca="1" si="19"/>
        <v>490446.97327473207</v>
      </c>
      <c r="R45" s="29">
        <f t="shared" ca="1" si="19"/>
        <v>514969.32193846867</v>
      </c>
      <c r="S45" s="30">
        <f t="shared" ca="1" si="19"/>
        <v>540717.78803539218</v>
      </c>
      <c r="T45" s="27"/>
      <c r="Y45" s="194"/>
    </row>
    <row r="46" spans="2:29" x14ac:dyDescent="0.3">
      <c r="B46" s="31" t="s">
        <v>28</v>
      </c>
      <c r="F46" s="38">
        <f>F22</f>
        <v>0.25404961842501161</v>
      </c>
      <c r="G46" s="38">
        <f t="shared" ref="G46:L46" si="20">G22</f>
        <v>0.15861957650261305</v>
      </c>
      <c r="H46" s="38">
        <f t="shared" si="20"/>
        <v>-2.04107758052674E-2</v>
      </c>
      <c r="I46" s="38">
        <f t="shared" si="20"/>
        <v>5.5120803769784787E-2</v>
      </c>
      <c r="J46" s="38">
        <f t="shared" si="20"/>
        <v>0.33259384733074704</v>
      </c>
      <c r="K46" s="38">
        <f t="shared" si="20"/>
        <v>7.7937876041846099E-2</v>
      </c>
      <c r="L46" s="38">
        <f t="shared" si="20"/>
        <v>-2.800460530319937E-2</v>
      </c>
      <c r="M46" s="38">
        <f ca="1">OFFSET(M46,$D$6,0)</f>
        <v>1.8773763056211479E-2</v>
      </c>
      <c r="N46" s="38">
        <f t="shared" ref="N46:S46" ca="1" si="21">OFFSET(N46,$D$6,0)</f>
        <v>6.3834603064431228E-2</v>
      </c>
      <c r="O46" s="38">
        <f t="shared" ca="1" si="21"/>
        <v>6.0375952298323418E-2</v>
      </c>
      <c r="P46" s="38">
        <f t="shared" ca="1" si="21"/>
        <v>5.6917301532215608E-2</v>
      </c>
      <c r="Q46" s="38">
        <f t="shared" ca="1" si="21"/>
        <v>5.3458650766107799E-2</v>
      </c>
      <c r="R46" s="38">
        <f t="shared" ca="1" si="21"/>
        <v>4.9999999999999989E-2</v>
      </c>
      <c r="S46" s="39">
        <f t="shared" ca="1" si="21"/>
        <v>0.05</v>
      </c>
      <c r="T46" s="27"/>
      <c r="Y46" s="195"/>
    </row>
    <row r="47" spans="2:29" x14ac:dyDescent="0.3">
      <c r="B47" s="5" t="s">
        <v>11</v>
      </c>
      <c r="M47" s="46">
        <f>I6</f>
        <v>8.7737630562114786E-3</v>
      </c>
      <c r="N47" s="47">
        <f>N48-1%</f>
        <v>5.3834603064431226E-2</v>
      </c>
      <c r="O47" s="46">
        <f>N47-(($N$47-$S$47)/($S$43-$O$43))</f>
        <v>5.0375952298323423E-2</v>
      </c>
      <c r="P47" s="46">
        <f>O47-(($N$47-$S$47)/($S$43-$O$43))</f>
        <v>4.6917301532215613E-2</v>
      </c>
      <c r="Q47" s="46">
        <f>P47-(($N$47-$S$47)/($S$43-$O$43))</f>
        <v>4.3458650766107804E-2</v>
      </c>
      <c r="R47" s="46">
        <f>Q47-(($N$47-$S$47)/($S$43-$O$43))</f>
        <v>3.9999999999999994E-2</v>
      </c>
      <c r="S47" s="48">
        <f>I7</f>
        <v>0.04</v>
      </c>
      <c r="T47" s="27"/>
      <c r="U47" s="196"/>
      <c r="V47" s="196"/>
      <c r="W47" s="196"/>
      <c r="X47" s="196"/>
      <c r="Y47" s="196"/>
    </row>
    <row r="48" spans="2:29" x14ac:dyDescent="0.3">
      <c r="B48" s="5" t="s">
        <v>29</v>
      </c>
      <c r="M48" s="46">
        <f>M22</f>
        <v>1.8773763056211479E-2</v>
      </c>
      <c r="N48" s="46">
        <f>N22</f>
        <v>6.3834603064431228E-2</v>
      </c>
      <c r="O48" s="46">
        <f>N48-(($N$48-$S$48)/($S$43-$O$43))</f>
        <v>6.0375952298323418E-2</v>
      </c>
      <c r="P48" s="46">
        <f>O48-(($N$48-$S$48)/($S$43-$O$43))</f>
        <v>5.6917301532215608E-2</v>
      </c>
      <c r="Q48" s="46">
        <f>P48-(($N$48-$S$48)/($S$43-$O$43))</f>
        <v>5.3458650766107799E-2</v>
      </c>
      <c r="R48" s="46">
        <f>Q48-(($N$48-$S$48)/($S$43-$O$43))</f>
        <v>4.9999999999999989E-2</v>
      </c>
      <c r="S48" s="48">
        <f>K7</f>
        <v>0.05</v>
      </c>
      <c r="U48" s="196"/>
      <c r="V48" s="196"/>
      <c r="W48" s="196"/>
      <c r="X48" s="196"/>
      <c r="Y48" s="196"/>
    </row>
    <row r="49" spans="2:25" x14ac:dyDescent="0.3">
      <c r="B49" s="5" t="s">
        <v>17</v>
      </c>
      <c r="M49" s="46">
        <f>M6</f>
        <v>2.8773763056211481E-2</v>
      </c>
      <c r="N49" s="47">
        <f>N48+1%</f>
        <v>7.3834603064431223E-2</v>
      </c>
      <c r="O49" s="46">
        <f>N49-(($N$49-$S$49)/($S$43-$O$43))</f>
        <v>7.0375952298323413E-2</v>
      </c>
      <c r="P49" s="46">
        <f>O49-(($N$49-$S$49)/($S$43-$O$43))</f>
        <v>6.6917301532215603E-2</v>
      </c>
      <c r="Q49" s="46">
        <f>P49-(($N$49-$S$49)/($S$43-$O$43))</f>
        <v>6.3458650766107794E-2</v>
      </c>
      <c r="R49" s="46">
        <f>Q49-(($N$49-$S$49)/($S$43-$O$43))</f>
        <v>5.9999999999999991E-2</v>
      </c>
      <c r="S49" s="48">
        <f>M7</f>
        <v>6.0000000000000005E-2</v>
      </c>
      <c r="U49" s="196"/>
      <c r="V49" s="196"/>
      <c r="W49" s="196"/>
      <c r="X49" s="196"/>
      <c r="Y49" s="196"/>
    </row>
    <row r="50" spans="2:25" x14ac:dyDescent="0.3">
      <c r="B50" s="5" t="s">
        <v>11</v>
      </c>
      <c r="M50" s="81">
        <f>$L$45*(1+M47)</f>
        <v>386647.85177300003</v>
      </c>
      <c r="N50" s="81">
        <f>M50*(1+N47)</f>
        <v>407462.88539891451</v>
      </c>
      <c r="O50" s="81">
        <f t="shared" ref="O50:S50" si="22">N50*(1+O47)</f>
        <v>427989.21627710742</v>
      </c>
      <c r="P50" s="81">
        <f t="shared" si="22"/>
        <v>448069.31538971706</v>
      </c>
      <c r="Q50" s="81">
        <f t="shared" si="22"/>
        <v>467541.80328624783</v>
      </c>
      <c r="R50" s="81">
        <f t="shared" si="22"/>
        <v>486243.47541769774</v>
      </c>
      <c r="S50" s="82">
        <f t="shared" si="22"/>
        <v>505693.21443440567</v>
      </c>
      <c r="U50" s="196"/>
      <c r="V50" s="196"/>
      <c r="W50" s="196"/>
      <c r="X50" s="196"/>
      <c r="Y50" s="196"/>
    </row>
    <row r="51" spans="2:25" x14ac:dyDescent="0.3">
      <c r="B51" s="5" t="s">
        <v>29</v>
      </c>
      <c r="M51" s="81">
        <f t="shared" ref="M51:M52" si="23">$L$45*(1+M48)</f>
        <v>390480.70177300001</v>
      </c>
      <c r="N51" s="81">
        <f t="shared" ref="N51:S51" si="24">M51*(1+N48)</f>
        <v>415406.88237499999</v>
      </c>
      <c r="O51" s="81">
        <f t="shared" si="24"/>
        <v>440487.46848966822</v>
      </c>
      <c r="P51" s="81">
        <f t="shared" si="24"/>
        <v>465558.82655485696</v>
      </c>
      <c r="Q51" s="81">
        <f t="shared" si="24"/>
        <v>490446.97327473207</v>
      </c>
      <c r="R51" s="81">
        <f t="shared" si="24"/>
        <v>514969.32193846867</v>
      </c>
      <c r="S51" s="82">
        <f t="shared" si="24"/>
        <v>540717.78803539218</v>
      </c>
    </row>
    <row r="52" spans="2:25" x14ac:dyDescent="0.3">
      <c r="B52" s="5" t="s">
        <v>17</v>
      </c>
      <c r="M52" s="81">
        <f t="shared" si="23"/>
        <v>394313.55177300004</v>
      </c>
      <c r="N52" s="81">
        <f t="shared" ref="N52:S52" si="25">M52*(1+N49)</f>
        <v>423427.53635108558</v>
      </c>
      <c r="O52" s="81">
        <f t="shared" si="25"/>
        <v>453226.6524511262</v>
      </c>
      <c r="P52" s="81">
        <f t="shared" si="25"/>
        <v>483555.35701563489</v>
      </c>
      <c r="Q52" s="81">
        <f t="shared" si="25"/>
        <v>514241.1275425707</v>
      </c>
      <c r="R52" s="81">
        <f t="shared" si="25"/>
        <v>545095.59519512497</v>
      </c>
      <c r="S52" s="82">
        <f t="shared" si="25"/>
        <v>577801.33090683247</v>
      </c>
    </row>
    <row r="53" spans="2:25" x14ac:dyDescent="0.3">
      <c r="B53" s="5"/>
      <c r="S53" s="6"/>
    </row>
    <row r="54" spans="2:25" x14ac:dyDescent="0.3">
      <c r="B54" s="5" t="s">
        <v>20</v>
      </c>
      <c r="F54" s="45">
        <f t="shared" ref="F54:L55" si="26">F24</f>
        <v>61344</v>
      </c>
      <c r="G54" s="45">
        <f t="shared" si="26"/>
        <v>70898</v>
      </c>
      <c r="H54" s="45">
        <f t="shared" si="26"/>
        <v>63930</v>
      </c>
      <c r="I54" s="45">
        <f t="shared" si="26"/>
        <v>66288</v>
      </c>
      <c r="J54" s="45">
        <f t="shared" si="26"/>
        <v>108949</v>
      </c>
      <c r="K54" s="45">
        <f t="shared" si="26"/>
        <v>119437</v>
      </c>
      <c r="L54" s="45">
        <f t="shared" si="26"/>
        <v>114301</v>
      </c>
      <c r="M54" s="29">
        <f t="shared" ref="M54:S54" ca="1" si="27">M45*M55</f>
        <v>130782.447468</v>
      </c>
      <c r="N54" s="29">
        <f t="shared" ca="1" si="27"/>
        <v>139130.89309</v>
      </c>
      <c r="O54" s="29">
        <f t="shared" ca="1" si="27"/>
        <v>147531.05325442494</v>
      </c>
      <c r="P54" s="29">
        <f t="shared" ca="1" si="27"/>
        <v>155928.1226978724</v>
      </c>
      <c r="Q54" s="29">
        <f t="shared" ca="1" si="27"/>
        <v>164263.82975379279</v>
      </c>
      <c r="R54" s="29">
        <f t="shared" ca="1" si="27"/>
        <v>172477.02124148243</v>
      </c>
      <c r="S54" s="30">
        <f t="shared" ca="1" si="27"/>
        <v>181100.87230355659</v>
      </c>
    </row>
    <row r="55" spans="2:25" x14ac:dyDescent="0.3">
      <c r="B55" s="31" t="s">
        <v>21</v>
      </c>
      <c r="F55" s="38">
        <f t="shared" si="26"/>
        <v>0.26760428208729942</v>
      </c>
      <c r="G55" s="38">
        <f t="shared" si="26"/>
        <v>0.26694026619477024</v>
      </c>
      <c r="H55" s="38">
        <f t="shared" si="26"/>
        <v>0.24572017188496928</v>
      </c>
      <c r="I55" s="38">
        <f t="shared" si="26"/>
        <v>0.24147314354406862</v>
      </c>
      <c r="J55" s="38">
        <f t="shared" si="26"/>
        <v>0.29782377527561593</v>
      </c>
      <c r="K55" s="38">
        <f t="shared" si="26"/>
        <v>0.30288744395528594</v>
      </c>
      <c r="L55" s="38">
        <f t="shared" si="26"/>
        <v>0.29821412265024722</v>
      </c>
      <c r="M55" s="38">
        <f ca="1">OFFSET(M55,$D$7,0)</f>
        <v>0.33492678863302283</v>
      </c>
      <c r="N55" s="38">
        <f t="shared" ref="N55:S55" ca="1" si="28">OFFSET(N55,$D$7,0)</f>
        <v>0.33492678863322839</v>
      </c>
      <c r="O55" s="38">
        <f t="shared" ca="1" si="28"/>
        <v>0.33492678863322839</v>
      </c>
      <c r="P55" s="38">
        <f t="shared" ca="1" si="28"/>
        <v>0.33492678863322839</v>
      </c>
      <c r="Q55" s="38">
        <f t="shared" ca="1" si="28"/>
        <v>0.33492678863322839</v>
      </c>
      <c r="R55" s="38">
        <f t="shared" ca="1" si="28"/>
        <v>0.33492678863322839</v>
      </c>
      <c r="S55" s="39">
        <f t="shared" ca="1" si="28"/>
        <v>0.33492678863322839</v>
      </c>
    </row>
    <row r="56" spans="2:25" x14ac:dyDescent="0.3">
      <c r="B56" s="5" t="s">
        <v>11</v>
      </c>
      <c r="M56" s="46">
        <f>I8</f>
        <v>0.32492678863302282</v>
      </c>
      <c r="N56" s="49">
        <f>M56</f>
        <v>0.32492678863302282</v>
      </c>
      <c r="O56" s="49">
        <f t="shared" ref="O56:S56" si="29">N56</f>
        <v>0.32492678863302282</v>
      </c>
      <c r="P56" s="49">
        <f t="shared" si="29"/>
        <v>0.32492678863302282</v>
      </c>
      <c r="Q56" s="49">
        <f t="shared" si="29"/>
        <v>0.32492678863302282</v>
      </c>
      <c r="R56" s="49">
        <f t="shared" si="29"/>
        <v>0.32492678863302282</v>
      </c>
      <c r="S56" s="50">
        <f t="shared" si="29"/>
        <v>0.32492678863302282</v>
      </c>
    </row>
    <row r="57" spans="2:25" x14ac:dyDescent="0.3">
      <c r="B57" s="5" t="s">
        <v>29</v>
      </c>
      <c r="M57" s="46">
        <f>M25</f>
        <v>0.33492678863302283</v>
      </c>
      <c r="N57" s="49">
        <f>N25</f>
        <v>0.33492678863322839</v>
      </c>
      <c r="O57" s="49">
        <f>N57</f>
        <v>0.33492678863322839</v>
      </c>
      <c r="P57" s="49">
        <f t="shared" ref="P57:S57" si="30">O57</f>
        <v>0.33492678863322839</v>
      </c>
      <c r="Q57" s="49">
        <f t="shared" si="30"/>
        <v>0.33492678863322839</v>
      </c>
      <c r="R57" s="49">
        <f t="shared" si="30"/>
        <v>0.33492678863322839</v>
      </c>
      <c r="S57" s="50">
        <f t="shared" si="30"/>
        <v>0.33492678863322839</v>
      </c>
    </row>
    <row r="58" spans="2:25" x14ac:dyDescent="0.3">
      <c r="B58" s="5" t="s">
        <v>17</v>
      </c>
      <c r="M58" s="46">
        <f>M8</f>
        <v>0.34492678863302284</v>
      </c>
      <c r="N58" s="49">
        <f>M58</f>
        <v>0.34492678863302284</v>
      </c>
      <c r="O58" s="49">
        <f t="shared" ref="O58:S58" si="31">N58</f>
        <v>0.34492678863302284</v>
      </c>
      <c r="P58" s="49">
        <f t="shared" si="31"/>
        <v>0.34492678863302284</v>
      </c>
      <c r="Q58" s="49">
        <f t="shared" si="31"/>
        <v>0.34492678863302284</v>
      </c>
      <c r="R58" s="49">
        <f t="shared" si="31"/>
        <v>0.34492678863302284</v>
      </c>
      <c r="S58" s="50">
        <f t="shared" si="31"/>
        <v>0.34492678863302284</v>
      </c>
    </row>
    <row r="59" spans="2:25" x14ac:dyDescent="0.3">
      <c r="B59" s="5"/>
      <c r="S59" s="6"/>
    </row>
    <row r="60" spans="2:25" x14ac:dyDescent="0.3">
      <c r="B60" s="5" t="s">
        <v>5</v>
      </c>
      <c r="F60" s="45">
        <f t="shared" ref="F60:L61" si="32">F27</f>
        <v>15738</v>
      </c>
      <c r="G60" s="45">
        <f t="shared" si="32"/>
        <v>13372</v>
      </c>
      <c r="H60" s="45">
        <f t="shared" si="32"/>
        <v>10481</v>
      </c>
      <c r="I60" s="45">
        <f t="shared" si="32"/>
        <v>9680</v>
      </c>
      <c r="J60" s="45">
        <f t="shared" si="32"/>
        <v>14527</v>
      </c>
      <c r="K60" s="45">
        <f t="shared" si="32"/>
        <v>19300</v>
      </c>
      <c r="L60" s="45">
        <f t="shared" si="32"/>
        <v>16741</v>
      </c>
      <c r="M60" s="29">
        <f ca="1">M54*M61</f>
        <v>19242.162903726261</v>
      </c>
      <c r="N60" s="29">
        <f t="shared" ref="N60:S60" ca="1" si="33">N54*N61</f>
        <v>21110.177749198159</v>
      </c>
      <c r="O60" s="29">
        <f t="shared" ca="1" si="33"/>
        <v>22384.724833992874</v>
      </c>
      <c r="P60" s="29">
        <f t="shared" ca="1" si="33"/>
        <v>23658.802967084917</v>
      </c>
      <c r="Q60" s="29">
        <f t="shared" ca="1" si="33"/>
        <v>24923.570652446469</v>
      </c>
      <c r="R60" s="29">
        <f t="shared" ca="1" si="33"/>
        <v>26169.749185068795</v>
      </c>
      <c r="S60" s="30">
        <f t="shared" ca="1" si="33"/>
        <v>27478.236644322238</v>
      </c>
    </row>
    <row r="61" spans="2:25" x14ac:dyDescent="0.3">
      <c r="B61" s="31" t="s">
        <v>22</v>
      </c>
      <c r="F61" s="38">
        <f t="shared" si="32"/>
        <v>0.25655320813771521</v>
      </c>
      <c r="G61" s="38">
        <f t="shared" si="32"/>
        <v>0.18860898755959266</v>
      </c>
      <c r="H61" s="38">
        <f t="shared" si="32"/>
        <v>0.16394493977788205</v>
      </c>
      <c r="I61" s="38">
        <f t="shared" si="32"/>
        <v>0.14602944726043929</v>
      </c>
      <c r="J61" s="38">
        <f t="shared" si="32"/>
        <v>0.13333761668303518</v>
      </c>
      <c r="K61" s="38">
        <f t="shared" si="32"/>
        <v>0.16159146663094351</v>
      </c>
      <c r="L61" s="38">
        <f t="shared" si="32"/>
        <v>0.14646416041854401</v>
      </c>
      <c r="M61" s="38">
        <f ca="1">OFFSET(M61,$D$8,0)</f>
        <v>0.14713108124417426</v>
      </c>
      <c r="N61" s="38">
        <f t="shared" ref="N61:S61" ca="1" si="34">OFFSET(N61,$D$8,0)</f>
        <v>0.15172890276455395</v>
      </c>
      <c r="O61" s="38">
        <f t="shared" ca="1" si="34"/>
        <v>0.15172890276455395</v>
      </c>
      <c r="P61" s="38">
        <f t="shared" ca="1" si="34"/>
        <v>0.15172890276455395</v>
      </c>
      <c r="Q61" s="38">
        <f t="shared" ca="1" si="34"/>
        <v>0.15172890276455395</v>
      </c>
      <c r="R61" s="38">
        <f t="shared" ca="1" si="34"/>
        <v>0.15172890276455395</v>
      </c>
      <c r="S61" s="39">
        <f t="shared" ca="1" si="34"/>
        <v>0.15172890276455395</v>
      </c>
    </row>
    <row r="62" spans="2:25" x14ac:dyDescent="0.3">
      <c r="B62" s="5" t="s">
        <v>11</v>
      </c>
      <c r="M62" s="46">
        <f>M63</f>
        <v>0.14713108124417426</v>
      </c>
      <c r="N62" s="49">
        <f>N63</f>
        <v>0.15172890276455395</v>
      </c>
      <c r="O62" s="49">
        <f>I9</f>
        <v>0.17713108124417426</v>
      </c>
      <c r="P62" s="49">
        <f>O62</f>
        <v>0.17713108124417426</v>
      </c>
      <c r="Q62" s="49">
        <f t="shared" ref="Q62:S62" si="35">P62</f>
        <v>0.17713108124417426</v>
      </c>
      <c r="R62" s="49">
        <f t="shared" si="35"/>
        <v>0.17713108124417426</v>
      </c>
      <c r="S62" s="50">
        <f t="shared" si="35"/>
        <v>0.17713108124417426</v>
      </c>
    </row>
    <row r="63" spans="2:25" x14ac:dyDescent="0.3">
      <c r="B63" s="5" t="s">
        <v>16</v>
      </c>
      <c r="M63" s="46">
        <f>M28</f>
        <v>0.14713108124417426</v>
      </c>
      <c r="N63" s="49">
        <f>N28</f>
        <v>0.15172890276455395</v>
      </c>
      <c r="O63" s="49">
        <f>N63</f>
        <v>0.15172890276455395</v>
      </c>
      <c r="P63" s="49">
        <f t="shared" ref="P63:S63" si="36">O63</f>
        <v>0.15172890276455395</v>
      </c>
      <c r="Q63" s="49">
        <f t="shared" si="36"/>
        <v>0.15172890276455395</v>
      </c>
      <c r="R63" s="49">
        <f t="shared" si="36"/>
        <v>0.15172890276455395</v>
      </c>
      <c r="S63" s="50">
        <f t="shared" si="36"/>
        <v>0.15172890276455395</v>
      </c>
    </row>
    <row r="64" spans="2:25" x14ac:dyDescent="0.3">
      <c r="B64" s="5" t="s">
        <v>17</v>
      </c>
      <c r="M64" s="46">
        <f>M63</f>
        <v>0.14713108124417426</v>
      </c>
      <c r="N64" s="49">
        <f>N63</f>
        <v>0.15172890276455395</v>
      </c>
      <c r="O64" s="49">
        <f>M9</f>
        <v>0.11713108124417426</v>
      </c>
      <c r="P64" s="49">
        <f>O64</f>
        <v>0.11713108124417426</v>
      </c>
      <c r="Q64" s="49">
        <f t="shared" ref="Q64:S64" si="37">P64</f>
        <v>0.11713108124417426</v>
      </c>
      <c r="R64" s="49">
        <f t="shared" si="37"/>
        <v>0.11713108124417426</v>
      </c>
      <c r="S64" s="50">
        <f t="shared" si="37"/>
        <v>0.11713108124417426</v>
      </c>
    </row>
    <row r="65" spans="2:19" x14ac:dyDescent="0.3">
      <c r="B65" s="5"/>
      <c r="S65" s="6"/>
    </row>
    <row r="66" spans="2:19" x14ac:dyDescent="0.3">
      <c r="B66" s="51" t="s">
        <v>31</v>
      </c>
      <c r="C66" s="52"/>
      <c r="D66" s="52"/>
      <c r="E66" s="52"/>
      <c r="F66" s="52"/>
      <c r="G66" s="52"/>
      <c r="H66" s="52"/>
      <c r="I66" s="52"/>
      <c r="J66" s="52"/>
      <c r="K66" s="52"/>
      <c r="L66" s="52"/>
      <c r="M66" s="53">
        <f t="shared" ref="M66:S66" ca="1" si="38">M54-M60</f>
        <v>111540.28456427374</v>
      </c>
      <c r="N66" s="53">
        <f t="shared" ca="1" si="38"/>
        <v>118020.71534080183</v>
      </c>
      <c r="O66" s="53">
        <f t="shared" ca="1" si="38"/>
        <v>125146.32842043207</v>
      </c>
      <c r="P66" s="53">
        <f t="shared" ca="1" si="38"/>
        <v>132269.31973078748</v>
      </c>
      <c r="Q66" s="53">
        <f t="shared" ca="1" si="38"/>
        <v>139340.25910134631</v>
      </c>
      <c r="R66" s="53">
        <f t="shared" ca="1" si="38"/>
        <v>146307.27205641364</v>
      </c>
      <c r="S66" s="54">
        <f t="shared" ca="1" si="38"/>
        <v>153622.63565923437</v>
      </c>
    </row>
    <row r="67" spans="2:19" x14ac:dyDescent="0.3">
      <c r="B67" s="83" t="s">
        <v>11</v>
      </c>
      <c r="M67" s="45">
        <f>(M56*M50)-(M62*(M56*M50))</f>
        <v>107147.83679065671</v>
      </c>
      <c r="N67" s="45">
        <f t="shared" ref="N67:S67" si="39">(N56*N50)-(N62*(N56*N50))</f>
        <v>112307.36668316234</v>
      </c>
      <c r="O67" s="45">
        <f t="shared" si="39"/>
        <v>114432.39917431524</v>
      </c>
      <c r="P67" s="45">
        <f t="shared" si="39"/>
        <v>119801.25855143144</v>
      </c>
      <c r="Q67" s="45">
        <f t="shared" si="39"/>
        <v>125007.65960815828</v>
      </c>
      <c r="R67" s="45">
        <f t="shared" si="39"/>
        <v>130007.96599248462</v>
      </c>
      <c r="S67" s="84">
        <f t="shared" si="39"/>
        <v>135208.28463218402</v>
      </c>
    </row>
    <row r="68" spans="2:19" x14ac:dyDescent="0.3">
      <c r="B68" s="83" t="s">
        <v>16</v>
      </c>
      <c r="M68" s="45">
        <f t="shared" ref="M68:S68" si="40">(M57*M51)-(M63*(M57*M51))</f>
        <v>111540.28456427374</v>
      </c>
      <c r="N68" s="45">
        <f t="shared" si="40"/>
        <v>118020.71534080183</v>
      </c>
      <c r="O68" s="45">
        <f t="shared" si="40"/>
        <v>125146.32842043207</v>
      </c>
      <c r="P68" s="45">
        <f t="shared" si="40"/>
        <v>132269.31973078748</v>
      </c>
      <c r="Q68" s="45">
        <f t="shared" si="40"/>
        <v>139340.25910134631</v>
      </c>
      <c r="R68" s="45">
        <f t="shared" si="40"/>
        <v>146307.27205641364</v>
      </c>
      <c r="S68" s="84">
        <f t="shared" si="40"/>
        <v>153622.63565923437</v>
      </c>
    </row>
    <row r="69" spans="2:19" x14ac:dyDescent="0.3">
      <c r="B69" s="83" t="s">
        <v>17</v>
      </c>
      <c r="M69" s="45">
        <f t="shared" ref="M69:S69" si="41">(M58*M52)-(M64*(M58*M52))</f>
        <v>115998.11071059585</v>
      </c>
      <c r="N69" s="45">
        <f t="shared" si="41"/>
        <v>123891.26643982473</v>
      </c>
      <c r="O69" s="45">
        <f t="shared" si="41"/>
        <v>138018.91021107274</v>
      </c>
      <c r="P69" s="45">
        <f t="shared" si="41"/>
        <v>147254.76324281489</v>
      </c>
      <c r="Q69" s="45">
        <f t="shared" si="41"/>
        <v>156599.35183708658</v>
      </c>
      <c r="R69" s="45">
        <f t="shared" si="41"/>
        <v>165995.31294731179</v>
      </c>
      <c r="S69" s="84">
        <f t="shared" si="41"/>
        <v>175955.0317241505</v>
      </c>
    </row>
    <row r="70" spans="2:19" x14ac:dyDescent="0.3">
      <c r="B70" s="5"/>
      <c r="S70" s="6"/>
    </row>
    <row r="71" spans="2:19" x14ac:dyDescent="0.3">
      <c r="B71" s="5" t="s">
        <v>6</v>
      </c>
      <c r="F71" s="45">
        <f t="shared" ref="F71:L72" si="42">F32</f>
        <v>10157</v>
      </c>
      <c r="G71" s="45">
        <f t="shared" si="42"/>
        <v>10903</v>
      </c>
      <c r="H71" s="45">
        <f t="shared" si="42"/>
        <v>12547</v>
      </c>
      <c r="I71" s="45">
        <f t="shared" si="42"/>
        <v>11056</v>
      </c>
      <c r="J71" s="45">
        <f t="shared" si="42"/>
        <v>11284</v>
      </c>
      <c r="K71" s="45">
        <f t="shared" si="42"/>
        <v>11104</v>
      </c>
      <c r="L71" s="45">
        <f t="shared" si="42"/>
        <v>11519</v>
      </c>
      <c r="M71" s="29">
        <f t="shared" ref="M71:S71" ca="1" si="43">M45*M72</f>
        <v>11591.898298494178</v>
      </c>
      <c r="N71" s="29">
        <f t="shared" ca="1" si="43"/>
        <v>12171.266464488805</v>
      </c>
      <c r="O71" s="29">
        <f t="shared" ca="1" si="43"/>
        <v>12906.118267958964</v>
      </c>
      <c r="P71" s="29">
        <f t="shared" ca="1" si="43"/>
        <v>13640.69969302682</v>
      </c>
      <c r="Q71" s="29">
        <f t="shared" ca="1" si="43"/>
        <v>14369.913094121695</v>
      </c>
      <c r="R71" s="29">
        <f t="shared" ca="1" si="43"/>
        <v>15088.40874882778</v>
      </c>
      <c r="S71" s="30">
        <f t="shared" ca="1" si="43"/>
        <v>15842.829186269171</v>
      </c>
    </row>
    <row r="72" spans="2:19" x14ac:dyDescent="0.3">
      <c r="B72" s="31" t="s">
        <v>21</v>
      </c>
      <c r="F72" s="38">
        <f t="shared" si="42"/>
        <v>4.4308435921372923E-2</v>
      </c>
      <c r="G72" s="38">
        <f t="shared" si="42"/>
        <v>4.1051224608897006E-2</v>
      </c>
      <c r="H72" s="38">
        <f t="shared" si="42"/>
        <v>4.8225418373857493E-2</v>
      </c>
      <c r="I72" s="38">
        <f t="shared" si="42"/>
        <v>4.0274666229532081E-2</v>
      </c>
      <c r="J72" s="38">
        <f t="shared" si="42"/>
        <v>3.084602410494865E-2</v>
      </c>
      <c r="K72" s="38">
        <f t="shared" si="42"/>
        <v>2.8159298857803657E-2</v>
      </c>
      <c r="L72" s="38">
        <f t="shared" si="42"/>
        <v>3.0053354553400212E-2</v>
      </c>
      <c r="M72" s="38">
        <f ca="1">OFFSET(M72,$D$9,0)</f>
        <v>2.9686225838717505E-2</v>
      </c>
      <c r="N72" s="38">
        <f t="shared" ref="N72:S72" ca="1" si="44">OFFSET(N72,$D$9,0)</f>
        <v>2.9299626416640457E-2</v>
      </c>
      <c r="O72" s="38">
        <f t="shared" ca="1" si="44"/>
        <v>2.9299626416640457E-2</v>
      </c>
      <c r="P72" s="38">
        <f t="shared" ca="1" si="44"/>
        <v>2.9299626416640457E-2</v>
      </c>
      <c r="Q72" s="38">
        <f t="shared" ca="1" si="44"/>
        <v>2.9299626416640457E-2</v>
      </c>
      <c r="R72" s="38">
        <f t="shared" ca="1" si="44"/>
        <v>2.9299626416640457E-2</v>
      </c>
      <c r="S72" s="39">
        <f t="shared" ca="1" si="44"/>
        <v>2.9299626416640457E-2</v>
      </c>
    </row>
    <row r="73" spans="2:19" x14ac:dyDescent="0.3">
      <c r="B73" s="5" t="s">
        <v>11</v>
      </c>
      <c r="M73" s="46">
        <f>I10</f>
        <v>2.4686225838717504E-2</v>
      </c>
      <c r="N73" s="49">
        <f>M73</f>
        <v>2.4686225838717504E-2</v>
      </c>
      <c r="O73" s="49">
        <f t="shared" ref="O73:S73" si="45">N73</f>
        <v>2.4686225838717504E-2</v>
      </c>
      <c r="P73" s="49">
        <f t="shared" si="45"/>
        <v>2.4686225838717504E-2</v>
      </c>
      <c r="Q73" s="49">
        <f t="shared" si="45"/>
        <v>2.4686225838717504E-2</v>
      </c>
      <c r="R73" s="49">
        <f t="shared" si="45"/>
        <v>2.4686225838717504E-2</v>
      </c>
      <c r="S73" s="50">
        <f t="shared" si="45"/>
        <v>2.4686225838717504E-2</v>
      </c>
    </row>
    <row r="74" spans="2:19" x14ac:dyDescent="0.3">
      <c r="B74" s="5" t="s">
        <v>16</v>
      </c>
      <c r="M74" s="46">
        <f>M33</f>
        <v>2.9686225838717505E-2</v>
      </c>
      <c r="N74" s="46">
        <f>N33</f>
        <v>2.9299626416640457E-2</v>
      </c>
      <c r="O74" s="49">
        <f>N74</f>
        <v>2.9299626416640457E-2</v>
      </c>
      <c r="P74" s="49">
        <f t="shared" ref="P74:S74" si="46">O74</f>
        <v>2.9299626416640457E-2</v>
      </c>
      <c r="Q74" s="49">
        <f t="shared" si="46"/>
        <v>2.9299626416640457E-2</v>
      </c>
      <c r="R74" s="49">
        <f t="shared" si="46"/>
        <v>2.9299626416640457E-2</v>
      </c>
      <c r="S74" s="50">
        <f t="shared" si="46"/>
        <v>2.9299626416640457E-2</v>
      </c>
    </row>
    <row r="75" spans="2:19" x14ac:dyDescent="0.3">
      <c r="B75" s="5" t="s">
        <v>17</v>
      </c>
      <c r="M75" s="46">
        <f>M10</f>
        <v>3.4686225838717506E-2</v>
      </c>
      <c r="N75" s="49">
        <f>M75</f>
        <v>3.4686225838717506E-2</v>
      </c>
      <c r="O75" s="49">
        <f t="shared" ref="O75:S75" si="47">N75</f>
        <v>3.4686225838717506E-2</v>
      </c>
      <c r="P75" s="49">
        <f t="shared" si="47"/>
        <v>3.4686225838717506E-2</v>
      </c>
      <c r="Q75" s="49">
        <f t="shared" si="47"/>
        <v>3.4686225838717506E-2</v>
      </c>
      <c r="R75" s="49">
        <f t="shared" si="47"/>
        <v>3.4686225838717506E-2</v>
      </c>
      <c r="S75" s="50">
        <f t="shared" si="47"/>
        <v>3.4686225838717506E-2</v>
      </c>
    </row>
    <row r="76" spans="2:19" x14ac:dyDescent="0.3">
      <c r="B76" s="5"/>
      <c r="S76" s="6"/>
    </row>
    <row r="77" spans="2:19" x14ac:dyDescent="0.3">
      <c r="B77" s="5" t="s">
        <v>7</v>
      </c>
      <c r="F77" s="45">
        <f>F36</f>
        <v>12795</v>
      </c>
      <c r="G77" s="45">
        <f t="shared" ref="G77:L77" si="48">G36</f>
        <v>13313</v>
      </c>
      <c r="H77" s="45">
        <f t="shared" si="48"/>
        <v>10495</v>
      </c>
      <c r="I77" s="45">
        <f t="shared" si="48"/>
        <v>7309</v>
      </c>
      <c r="J77" s="45">
        <f t="shared" si="48"/>
        <v>11085</v>
      </c>
      <c r="K77" s="45">
        <f t="shared" si="48"/>
        <v>10708</v>
      </c>
      <c r="L77" s="45">
        <f t="shared" si="48"/>
        <v>10959</v>
      </c>
      <c r="M77" s="29">
        <f t="shared" ref="M77:S77" ca="1" si="49">M45*M78</f>
        <v>11200.209481848959</v>
      </c>
      <c r="N77" s="29">
        <f t="shared" ca="1" si="49"/>
        <v>19999.140053962885</v>
      </c>
      <c r="O77" s="29">
        <f t="shared" ca="1" si="49"/>
        <v>25815.923425918863</v>
      </c>
      <c r="P77" s="29">
        <f t="shared" ca="1" si="49"/>
        <v>32156.962212568695</v>
      </c>
      <c r="Q77" s="29">
        <f t="shared" ca="1" si="49"/>
        <v>39008.12880995762</v>
      </c>
      <c r="R77" s="29">
        <f t="shared" ca="1" si="49"/>
        <v>46347.238974462191</v>
      </c>
      <c r="S77" s="30">
        <f t="shared" ca="1" si="49"/>
        <v>48664.600923185302</v>
      </c>
    </row>
    <row r="78" spans="2:19" x14ac:dyDescent="0.3">
      <c r="B78" s="31" t="s">
        <v>21</v>
      </c>
      <c r="F78" s="38">
        <f>F37</f>
        <v>5.5816327420888698E-2</v>
      </c>
      <c r="G78" s="38">
        <f t="shared" ref="G78:L78" si="50">G37</f>
        <v>5.0125190609762983E-2</v>
      </c>
      <c r="H78" s="38">
        <f t="shared" si="50"/>
        <v>4.033838892433525E-2</v>
      </c>
      <c r="I78" s="38">
        <f t="shared" si="50"/>
        <v>2.6625138881299748E-2</v>
      </c>
      <c r="J78" s="38">
        <f t="shared" si="50"/>
        <v>3.0302036264033657E-2</v>
      </c>
      <c r="K78" s="38">
        <f t="shared" si="50"/>
        <v>2.7155058732831552E-2</v>
      </c>
      <c r="L78" s="38">
        <f t="shared" si="50"/>
        <v>2.859230076835775E-2</v>
      </c>
      <c r="M78" s="38">
        <f ca="1">OFFSET(M78,$D$10,0)</f>
        <v>2.8683131921740986E-2</v>
      </c>
      <c r="N78" s="38">
        <f t="shared" ref="N78:S78" ca="1" si="51">OFFSET(N78,$D$10,0)</f>
        <v>4.8143497140976765E-2</v>
      </c>
      <c r="O78" s="38">
        <f t="shared" ca="1" si="51"/>
        <v>5.860762285573258E-2</v>
      </c>
      <c r="P78" s="38">
        <f t="shared" ca="1" si="51"/>
        <v>6.9071748570488395E-2</v>
      </c>
      <c r="Q78" s="38">
        <f t="shared" ca="1" si="51"/>
        <v>7.953587428524421E-2</v>
      </c>
      <c r="R78" s="38">
        <f t="shared" ca="1" si="51"/>
        <v>9.0000000000000024E-2</v>
      </c>
      <c r="S78" s="39">
        <f t="shared" ca="1" si="51"/>
        <v>9.0000000000000011E-2</v>
      </c>
    </row>
    <row r="79" spans="2:19" x14ac:dyDescent="0.3">
      <c r="B79" s="5" t="s">
        <v>11</v>
      </c>
      <c r="M79" s="46">
        <f>M80</f>
        <v>2.8683131921740986E-2</v>
      </c>
      <c r="N79" s="47">
        <f>N80+2%</f>
        <v>4.8143497140976765E-2</v>
      </c>
      <c r="O79" s="49">
        <f>N79-(($N$79-$S$79)/($S$43-$O$43))</f>
        <v>5.860762285573258E-2</v>
      </c>
      <c r="P79" s="49">
        <f>O79-(($N$79-$S$79)/($S$43-$O$43))</f>
        <v>6.9071748570488395E-2</v>
      </c>
      <c r="Q79" s="49">
        <f>P79-(($N$79-$S$79)/($S$43-$O$43))</f>
        <v>7.953587428524421E-2</v>
      </c>
      <c r="R79" s="49">
        <f>Q79-(($N$79-$S$79)/($S$43-$O$43))</f>
        <v>9.0000000000000024E-2</v>
      </c>
      <c r="S79" s="50">
        <f>I11</f>
        <v>9.0000000000000011E-2</v>
      </c>
    </row>
    <row r="80" spans="2:19" x14ac:dyDescent="0.3">
      <c r="B80" s="5" t="s">
        <v>16</v>
      </c>
      <c r="M80" s="46">
        <f>M37</f>
        <v>2.8683131921740986E-2</v>
      </c>
      <c r="N80" s="46">
        <f>N37</f>
        <v>2.8143497140976761E-2</v>
      </c>
      <c r="O80" s="49">
        <f>N80-(($N$80-$S$80)/($S$43-$O$43))</f>
        <v>3.8607622855732576E-2</v>
      </c>
      <c r="P80" s="49">
        <f>O80-(($N$79-$S$79)/($S$43-$O$43))</f>
        <v>4.9071748570488391E-2</v>
      </c>
      <c r="Q80" s="49">
        <f>P80-(($N$79-$S$79)/($S$43-$O$43))</f>
        <v>5.9535874285244206E-2</v>
      </c>
      <c r="R80" s="49">
        <f>Q80-(($N$79-$S$79)/($S$43-$O$43))</f>
        <v>7.0000000000000021E-2</v>
      </c>
      <c r="S80" s="50">
        <f>K11</f>
        <v>7.0000000000000007E-2</v>
      </c>
    </row>
    <row r="81" spans="2:19" x14ac:dyDescent="0.3">
      <c r="B81" s="5" t="s">
        <v>17</v>
      </c>
      <c r="M81" s="46">
        <f>M80</f>
        <v>2.8683131921740986E-2</v>
      </c>
      <c r="N81" s="47">
        <f>N80-2%</f>
        <v>8.1434971409767611E-3</v>
      </c>
      <c r="O81" s="49">
        <f>N81-(($N$81-$S$81)/($S$43-$O$43))</f>
        <v>1.8607622855732572E-2</v>
      </c>
      <c r="P81" s="49">
        <f>O81-(($N$81-$S$81)/($S$43-$O$43))</f>
        <v>2.9071748570488384E-2</v>
      </c>
      <c r="Q81" s="49">
        <f>P81-(($N$81-$S$81)/($S$43-$O$43))</f>
        <v>3.9535874285244195E-2</v>
      </c>
      <c r="R81" s="49">
        <f>Q81-(($N$81-$S$81)/($S$43-$O$43))</f>
        <v>0.05</v>
      </c>
      <c r="S81" s="50">
        <f>M11</f>
        <v>0.05</v>
      </c>
    </row>
    <row r="82" spans="2:19" x14ac:dyDescent="0.3">
      <c r="B82" s="5"/>
      <c r="S82" s="6"/>
    </row>
    <row r="83" spans="2:19" x14ac:dyDescent="0.3">
      <c r="B83" s="5" t="s">
        <v>25</v>
      </c>
      <c r="F83" s="55">
        <f>F39</f>
        <v>-4923</v>
      </c>
      <c r="G83" s="55">
        <f t="shared" ref="G83:L83" si="52">G39</f>
        <v>34694</v>
      </c>
      <c r="H83" s="55">
        <f t="shared" si="52"/>
        <v>-3488</v>
      </c>
      <c r="I83" s="55">
        <f t="shared" si="52"/>
        <v>5690</v>
      </c>
      <c r="J83" s="55">
        <f t="shared" si="52"/>
        <v>-4911</v>
      </c>
      <c r="K83" s="55">
        <f t="shared" si="52"/>
        <v>1200</v>
      </c>
      <c r="L83" s="55">
        <f t="shared" si="52"/>
        <v>-6577</v>
      </c>
      <c r="M83" s="56">
        <f t="shared" ref="M83:S83" ca="1" si="53">M45*M84</f>
        <v>-3584.7622878326633</v>
      </c>
      <c r="N83" s="56">
        <f t="shared" ca="1" si="53"/>
        <v>-3225.881709618332</v>
      </c>
      <c r="O83" s="56">
        <f t="shared" ca="1" si="53"/>
        <v>-5007.6866111022664</v>
      </c>
      <c r="P83" s="56">
        <f t="shared" ca="1" si="53"/>
        <v>-4394.0200786889181</v>
      </c>
      <c r="Q83" s="56">
        <f t="shared" ca="1" si="53"/>
        <v>-4671.0609782096608</v>
      </c>
      <c r="R83" s="56">
        <f t="shared" ca="1" si="53"/>
        <v>-5206.47093060722</v>
      </c>
      <c r="S83" s="57">
        <f t="shared" ca="1" si="53"/>
        <v>-5240.0072705536222</v>
      </c>
    </row>
    <row r="84" spans="2:19" x14ac:dyDescent="0.3">
      <c r="B84" s="31" t="s">
        <v>21</v>
      </c>
      <c r="F84" s="38">
        <f>F40</f>
        <v>-2.1475871816571714E-2</v>
      </c>
      <c r="G84" s="38">
        <f t="shared" ref="G84:L84" si="54">G40</f>
        <v>0.13062745910126319</v>
      </c>
      <c r="H84" s="38">
        <f t="shared" si="54"/>
        <v>-1.340641263154658E-2</v>
      </c>
      <c r="I84" s="38">
        <f t="shared" si="54"/>
        <v>2.0727464801559112E-2</v>
      </c>
      <c r="J84" s="38">
        <f t="shared" si="54"/>
        <v>-1.3424745159464978E-2</v>
      </c>
      <c r="K84" s="38">
        <f t="shared" si="54"/>
        <v>3.0431518938548621E-3</v>
      </c>
      <c r="L84" s="38">
        <f t="shared" si="54"/>
        <v>-1.7159554900400484E-2</v>
      </c>
      <c r="M84" s="58">
        <f>AVERAGE(J84:L84)</f>
        <v>-9.1803827220035324E-3</v>
      </c>
      <c r="N84" s="58">
        <f t="shared" ref="N84:S84" si="55">AVERAGE(K84:M84)</f>
        <v>-7.765595242849717E-3</v>
      </c>
      <c r="O84" s="58">
        <f t="shared" si="55"/>
        <v>-1.1368510955084579E-2</v>
      </c>
      <c r="P84" s="58">
        <f t="shared" si="55"/>
        <v>-9.4381629733126093E-3</v>
      </c>
      <c r="Q84" s="58">
        <f t="shared" si="55"/>
        <v>-9.5240897237489682E-3</v>
      </c>
      <c r="R84" s="58">
        <f t="shared" si="55"/>
        <v>-1.0110254550715387E-2</v>
      </c>
      <c r="S84" s="59">
        <f t="shared" si="55"/>
        <v>-9.6908357492589883E-3</v>
      </c>
    </row>
    <row r="85" spans="2:19" x14ac:dyDescent="0.3">
      <c r="B85" s="83" t="s">
        <v>11</v>
      </c>
      <c r="F85" s="38"/>
      <c r="G85" s="38"/>
      <c r="H85" s="38"/>
      <c r="I85" s="38"/>
      <c r="J85" s="38"/>
      <c r="K85" s="38"/>
      <c r="L85" s="38"/>
      <c r="M85" s="55">
        <f>M$84*M50</f>
        <v>-3549.5752579166324</v>
      </c>
      <c r="N85" s="55">
        <f t="shared" ref="N85:S85" si="56">N$84*N50</f>
        <v>-3164.19184449163</v>
      </c>
      <c r="O85" s="55">
        <f t="shared" si="56"/>
        <v>-4865.6000939043588</v>
      </c>
      <c r="P85" s="55">
        <f t="shared" si="56"/>
        <v>-4228.9512219887574</v>
      </c>
      <c r="Q85" s="55">
        <f t="shared" si="56"/>
        <v>-4452.9100841016143</v>
      </c>
      <c r="R85" s="55">
        <f t="shared" si="56"/>
        <v>-4916.0453100974446</v>
      </c>
      <c r="S85" s="154">
        <f t="shared" si="56"/>
        <v>-4900.5898805986299</v>
      </c>
    </row>
    <row r="86" spans="2:19" x14ac:dyDescent="0.3">
      <c r="B86" s="83" t="s">
        <v>16</v>
      </c>
      <c r="F86" s="38"/>
      <c r="G86" s="38"/>
      <c r="H86" s="38"/>
      <c r="I86" s="38"/>
      <c r="J86" s="38"/>
      <c r="K86" s="38"/>
      <c r="L86" s="38"/>
      <c r="M86" s="55">
        <f t="shared" ref="M86:S86" si="57">M$84*M51</f>
        <v>-3584.7622878326633</v>
      </c>
      <c r="N86" s="55">
        <f t="shared" si="57"/>
        <v>-3225.881709618332</v>
      </c>
      <c r="O86" s="55">
        <f t="shared" si="57"/>
        <v>-5007.6866111022664</v>
      </c>
      <c r="P86" s="55">
        <f t="shared" si="57"/>
        <v>-4394.0200786889181</v>
      </c>
      <c r="Q86" s="55">
        <f t="shared" si="57"/>
        <v>-4671.0609782096608</v>
      </c>
      <c r="R86" s="55">
        <f t="shared" si="57"/>
        <v>-5206.47093060722</v>
      </c>
      <c r="S86" s="154">
        <f t="shared" si="57"/>
        <v>-5240.0072705536222</v>
      </c>
    </row>
    <row r="87" spans="2:19" x14ac:dyDescent="0.3">
      <c r="B87" s="83" t="s">
        <v>17</v>
      </c>
      <c r="F87" s="38"/>
      <c r="G87" s="38"/>
      <c r="H87" s="38"/>
      <c r="I87" s="38"/>
      <c r="J87" s="38"/>
      <c r="K87" s="38"/>
      <c r="L87" s="38"/>
      <c r="M87" s="55">
        <f t="shared" ref="M87:S87" si="58">M$84*M52</f>
        <v>-3619.9493177486947</v>
      </c>
      <c r="N87" s="55">
        <f t="shared" si="58"/>
        <v>-3288.166861979566</v>
      </c>
      <c r="O87" s="55">
        <f t="shared" si="58"/>
        <v>-5152.5121635269397</v>
      </c>
      <c r="P87" s="55">
        <f t="shared" si="58"/>
        <v>-4563.8742661319247</v>
      </c>
      <c r="Q87" s="55">
        <f t="shared" si="58"/>
        <v>-4897.6786383572799</v>
      </c>
      <c r="R87" s="55">
        <f t="shared" si="58"/>
        <v>-5511.0552218964249</v>
      </c>
      <c r="S87" s="154">
        <f t="shared" si="58"/>
        <v>-5599.3777935213548</v>
      </c>
    </row>
    <row r="88" spans="2:19" x14ac:dyDescent="0.3">
      <c r="B88" s="5"/>
      <c r="S88" s="6"/>
    </row>
    <row r="89" spans="2:19" x14ac:dyDescent="0.3">
      <c r="B89" s="51" t="s">
        <v>32</v>
      </c>
      <c r="C89" s="52"/>
      <c r="D89" s="52"/>
      <c r="E89" s="52"/>
      <c r="F89" s="52"/>
      <c r="G89" s="52"/>
      <c r="H89" s="52"/>
      <c r="I89" s="52"/>
      <c r="J89" s="52"/>
      <c r="K89" s="52"/>
      <c r="L89" s="52"/>
      <c r="M89" s="53">
        <f t="shared" ref="M89:S89" ca="1" si="59">M66+M71-M77-M83</f>
        <v>115516.73566875163</v>
      </c>
      <c r="N89" s="53">
        <f t="shared" ca="1" si="59"/>
        <v>113418.72346094609</v>
      </c>
      <c r="O89" s="53">
        <f t="shared" ca="1" si="59"/>
        <v>117244.20987357444</v>
      </c>
      <c r="P89" s="53">
        <f t="shared" ca="1" si="59"/>
        <v>118147.0772899345</v>
      </c>
      <c r="Q89" s="53">
        <f t="shared" ca="1" si="59"/>
        <v>119373.10436372005</v>
      </c>
      <c r="R89" s="53">
        <f t="shared" ca="1" si="59"/>
        <v>120254.91276138645</v>
      </c>
      <c r="S89" s="54">
        <f t="shared" ca="1" si="59"/>
        <v>126040.87119287185</v>
      </c>
    </row>
    <row r="90" spans="2:19" x14ac:dyDescent="0.3">
      <c r="B90" s="83" t="s">
        <v>11</v>
      </c>
      <c r="M90" s="45">
        <f>M67+(M73*M50)-(M79*M50)-M$85</f>
        <v>109152.01689783386</v>
      </c>
      <c r="N90" s="45">
        <f t="shared" ref="N90:S90" si="60">N67+(N73*N50)-(N79*N50)-N$85</f>
        <v>105913.59107925027</v>
      </c>
      <c r="O90" s="45">
        <f t="shared" si="60"/>
        <v>104780.00714388271</v>
      </c>
      <c r="P90" s="45">
        <f t="shared" si="60"/>
        <v>104142.4189897809</v>
      </c>
      <c r="Q90" s="45">
        <f t="shared" si="60"/>
        <v>103816.06614795407</v>
      </c>
      <c r="R90" s="45">
        <f t="shared" si="60"/>
        <v>103165.61476175342</v>
      </c>
      <c r="S90" s="84">
        <f t="shared" si="60"/>
        <v>107080.14211032087</v>
      </c>
    </row>
    <row r="91" spans="2:19" x14ac:dyDescent="0.3">
      <c r="B91" s="83" t="s">
        <v>16</v>
      </c>
      <c r="M91" s="45">
        <f>M68+(M74*M51)-(M80*M51)-M$86</f>
        <v>115516.73566875163</v>
      </c>
      <c r="N91" s="45">
        <f t="shared" ref="N91:S91" si="61">N68+(N74*N51)-(N80*N51)-N$86</f>
        <v>121726.86110844609</v>
      </c>
      <c r="O91" s="45">
        <f t="shared" si="61"/>
        <v>126053.9592433678</v>
      </c>
      <c r="P91" s="45">
        <f t="shared" si="61"/>
        <v>127458.25382103166</v>
      </c>
      <c r="Q91" s="45">
        <f t="shared" si="61"/>
        <v>129182.0438292147</v>
      </c>
      <c r="R91" s="45">
        <f t="shared" si="61"/>
        <v>130554.29920015583</v>
      </c>
      <c r="S91" s="84">
        <f t="shared" si="61"/>
        <v>136855.22695357969</v>
      </c>
    </row>
    <row r="92" spans="2:19" x14ac:dyDescent="0.3">
      <c r="B92" s="83" t="s">
        <v>17</v>
      </c>
      <c r="M92" s="45">
        <f>M69+(M75*M52)-(M81*M52)-M$87</f>
        <v>121985.16131237446</v>
      </c>
      <c r="N92" s="45">
        <f t="shared" ref="N92:S92" si="62">N69+(N75*N52)-(N81*N52)-N$87</f>
        <v>138418.35552232389</v>
      </c>
      <c r="O92" s="45">
        <f t="shared" si="62"/>
        <v>150458.67378066864</v>
      </c>
      <c r="P92" s="45">
        <f t="shared" si="62"/>
        <v>154533.54806884151</v>
      </c>
      <c r="Q92" s="45">
        <f t="shared" si="62"/>
        <v>159003.1417901169</v>
      </c>
      <c r="R92" s="45">
        <f t="shared" si="62"/>
        <v>163158.89732808017</v>
      </c>
      <c r="S92" s="84">
        <f t="shared" si="62"/>
        <v>172706.09042607617</v>
      </c>
    </row>
    <row r="93" spans="2:19" x14ac:dyDescent="0.3">
      <c r="B93" s="5"/>
      <c r="S93" s="6"/>
    </row>
    <row r="94" spans="2:19" x14ac:dyDescent="0.3">
      <c r="B94" s="5"/>
      <c r="M94" s="68">
        <v>1</v>
      </c>
      <c r="N94" s="68">
        <v>2</v>
      </c>
      <c r="O94" s="68">
        <v>3</v>
      </c>
      <c r="P94" s="68">
        <v>4</v>
      </c>
      <c r="Q94" s="68">
        <v>5</v>
      </c>
      <c r="R94" s="68">
        <v>6</v>
      </c>
      <c r="S94" s="69">
        <v>7</v>
      </c>
    </row>
    <row r="95" spans="2:19" x14ac:dyDescent="0.3">
      <c r="B95" s="67" t="s">
        <v>50</v>
      </c>
      <c r="C95" s="52"/>
      <c r="D95" s="52"/>
      <c r="E95" s="52"/>
      <c r="F95" s="52"/>
      <c r="G95" s="52"/>
      <c r="H95" s="52"/>
      <c r="I95" s="52"/>
      <c r="J95" s="52"/>
      <c r="K95" s="52"/>
      <c r="L95" s="52"/>
      <c r="M95" s="53">
        <f t="shared" ref="M95:S95" ca="1" si="63">M89/(1+$D$16)^M$94</f>
        <v>105937.88787138821</v>
      </c>
      <c r="N95" s="53">
        <f t="shared" ca="1" si="63"/>
        <v>95388.838167728667</v>
      </c>
      <c r="O95" s="53">
        <f t="shared" ca="1" si="63"/>
        <v>90429.600137103262</v>
      </c>
      <c r="P95" s="53">
        <f t="shared" ca="1" si="63"/>
        <v>83569.651469778371</v>
      </c>
      <c r="Q95" s="53">
        <f t="shared" ca="1" si="63"/>
        <v>77435.213220257734</v>
      </c>
      <c r="R95" s="53">
        <f t="shared" ca="1" si="63"/>
        <v>71538.732325972494</v>
      </c>
      <c r="S95" s="54">
        <f t="shared" ca="1" si="63"/>
        <v>68763.22089082819</v>
      </c>
    </row>
    <row r="96" spans="2:19" x14ac:dyDescent="0.3">
      <c r="B96" s="83" t="s">
        <v>11</v>
      </c>
      <c r="M96" s="45">
        <f t="shared" ref="M96:S96" si="64">M90/(1+$I$12)^M$94</f>
        <v>99191.280923592902</v>
      </c>
      <c r="N96" s="45">
        <f t="shared" si="64"/>
        <v>87465.173247863087</v>
      </c>
      <c r="O96" s="45">
        <f t="shared" si="64"/>
        <v>78632.77903421373</v>
      </c>
      <c r="P96" s="45">
        <f t="shared" si="64"/>
        <v>71022.277652407196</v>
      </c>
      <c r="Q96" s="45">
        <f t="shared" si="64"/>
        <v>64338.841512119681</v>
      </c>
      <c r="R96" s="45">
        <f t="shared" si="64"/>
        <v>58101.236158828906</v>
      </c>
      <c r="S96" s="84">
        <f t="shared" si="64"/>
        <v>54802.588818751436</v>
      </c>
    </row>
    <row r="97" spans="2:19" x14ac:dyDescent="0.3">
      <c r="B97" s="83" t="s">
        <v>16</v>
      </c>
      <c r="M97" s="45">
        <f t="shared" ref="M97:S97" si="65">M91/(1+$K$12)^M$94</f>
        <v>105937.88787138821</v>
      </c>
      <c r="N97" s="45">
        <f t="shared" si="65"/>
        <v>102376.25235605249</v>
      </c>
      <c r="O97" s="45">
        <f t="shared" si="65"/>
        <v>97224.49528525224</v>
      </c>
      <c r="P97" s="45">
        <f t="shared" si="65"/>
        <v>90155.779500417877</v>
      </c>
      <c r="Q97" s="45">
        <f t="shared" si="65"/>
        <v>83798.098084681391</v>
      </c>
      <c r="R97" s="45">
        <f t="shared" si="65"/>
        <v>77665.758928427094</v>
      </c>
      <c r="S97" s="84">
        <f t="shared" si="65"/>
        <v>74663.131982585299</v>
      </c>
    </row>
    <row r="98" spans="2:19" x14ac:dyDescent="0.3">
      <c r="B98" s="85" t="s">
        <v>17</v>
      </c>
      <c r="C98" s="14"/>
      <c r="D98" s="14"/>
      <c r="E98" s="14"/>
      <c r="F98" s="14"/>
      <c r="G98" s="14"/>
      <c r="H98" s="14"/>
      <c r="I98" s="14"/>
      <c r="J98" s="14"/>
      <c r="K98" s="14"/>
      <c r="L98" s="14"/>
      <c r="M98" s="86">
        <f t="shared" ref="M98:S98" si="66">M92/(1+$M$12)^M$94</f>
        <v>112905.37107884989</v>
      </c>
      <c r="N98" s="86">
        <f t="shared" si="66"/>
        <v>118579.29952758245</v>
      </c>
      <c r="O98" s="86">
        <f t="shared" si="66"/>
        <v>119299.88424320397</v>
      </c>
      <c r="P98" s="86">
        <f t="shared" si="66"/>
        <v>113410.47425120237</v>
      </c>
      <c r="Q98" s="86">
        <f t="shared" si="66"/>
        <v>108004.95837467417</v>
      </c>
      <c r="R98" s="86">
        <f t="shared" si="66"/>
        <v>102578.50075539207</v>
      </c>
      <c r="S98" s="87">
        <f t="shared" si="66"/>
        <v>100498.79082056228</v>
      </c>
    </row>
    <row r="109" spans="2:19" x14ac:dyDescent="0.3">
      <c r="C109" s="63"/>
    </row>
  </sheetData>
  <mergeCells count="88">
    <mergeCell ref="U15:V15"/>
    <mergeCell ref="W10:X10"/>
    <mergeCell ref="U12:V12"/>
    <mergeCell ref="U13:V13"/>
    <mergeCell ref="U14:V14"/>
    <mergeCell ref="U10:V10"/>
    <mergeCell ref="U11:V11"/>
    <mergeCell ref="W15:X15"/>
    <mergeCell ref="W14:X14"/>
    <mergeCell ref="W13:X13"/>
    <mergeCell ref="W12:X12"/>
    <mergeCell ref="W11:X11"/>
    <mergeCell ref="Y2:Z2"/>
    <mergeCell ref="Y15:Z15"/>
    <mergeCell ref="Y14:Z14"/>
    <mergeCell ref="Y13:Z13"/>
    <mergeCell ref="Y12:Z12"/>
    <mergeCell ref="Y4:Z4"/>
    <mergeCell ref="Y9:Z9"/>
    <mergeCell ref="Y11:Z11"/>
    <mergeCell ref="Y10:Z10"/>
    <mergeCell ref="K12:L12"/>
    <mergeCell ref="M12:N12"/>
    <mergeCell ref="U9:V9"/>
    <mergeCell ref="U2:V2"/>
    <mergeCell ref="W2:X2"/>
    <mergeCell ref="U6:V6"/>
    <mergeCell ref="U5:V5"/>
    <mergeCell ref="S10:T10"/>
    <mergeCell ref="S12:T12"/>
    <mergeCell ref="W9:X9"/>
    <mergeCell ref="S2:T2"/>
    <mergeCell ref="S11:T11"/>
    <mergeCell ref="S4:T4"/>
    <mergeCell ref="S6:T6"/>
    <mergeCell ref="S5:T5"/>
    <mergeCell ref="S9:T9"/>
    <mergeCell ref="I17:J17"/>
    <mergeCell ref="S16:T16"/>
    <mergeCell ref="S17:T17"/>
    <mergeCell ref="S15:T15"/>
    <mergeCell ref="M13:N13"/>
    <mergeCell ref="S14:T14"/>
    <mergeCell ref="S13:T13"/>
    <mergeCell ref="W4:X4"/>
    <mergeCell ref="U4:V4"/>
    <mergeCell ref="Y6:Z6"/>
    <mergeCell ref="Y5:Z5"/>
    <mergeCell ref="W6:X6"/>
    <mergeCell ref="W5:X5"/>
    <mergeCell ref="Y16:Z16"/>
    <mergeCell ref="Y17:Z17"/>
    <mergeCell ref="U16:V16"/>
    <mergeCell ref="U17:V17"/>
    <mergeCell ref="W16:X16"/>
    <mergeCell ref="W17:X17"/>
    <mergeCell ref="P5:Q5"/>
    <mergeCell ref="E2:F2"/>
    <mergeCell ref="P6:Q6"/>
    <mergeCell ref="K13:L13"/>
    <mergeCell ref="I7:J7"/>
    <mergeCell ref="I8:J8"/>
    <mergeCell ref="I9:J9"/>
    <mergeCell ref="I10:J10"/>
    <mergeCell ref="I11:J11"/>
    <mergeCell ref="I12:J12"/>
    <mergeCell ref="M7:N7"/>
    <mergeCell ref="M8:N8"/>
    <mergeCell ref="M9:N9"/>
    <mergeCell ref="M10:N10"/>
    <mergeCell ref="M11:N11"/>
    <mergeCell ref="M6:N6"/>
    <mergeCell ref="B21:D21"/>
    <mergeCell ref="I5:J5"/>
    <mergeCell ref="K5:L5"/>
    <mergeCell ref="M5:N5"/>
    <mergeCell ref="I6:J6"/>
    <mergeCell ref="B5:D5"/>
    <mergeCell ref="B15:D15"/>
    <mergeCell ref="I15:J15"/>
    <mergeCell ref="I16:J16"/>
    <mergeCell ref="I13:J13"/>
    <mergeCell ref="K6:L6"/>
    <mergeCell ref="K7:L7"/>
    <mergeCell ref="K8:L8"/>
    <mergeCell ref="K9:L9"/>
    <mergeCell ref="K10:L10"/>
    <mergeCell ref="K11:L11"/>
  </mergeCells>
  <phoneticPr fontId="5" type="noConversion"/>
  <pageMargins left="0.7" right="0.7" top="0.75" bottom="0.75" header="0.3" footer="0.3"/>
  <pageSetup orientation="portrait" r:id="rId1"/>
  <ignoredErrors>
    <ignoredError sqref="N57 N74" 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3E55-0429-4DC1-837E-C9EA46689815}">
  <dimension ref="B2:P26"/>
  <sheetViews>
    <sheetView showGridLines="0" topLeftCell="A22" zoomScale="125" workbookViewId="0">
      <selection activeCell="F6" sqref="F6:G6"/>
    </sheetView>
  </sheetViews>
  <sheetFormatPr defaultColWidth="8.77734375" defaultRowHeight="14.4" x14ac:dyDescent="0.3"/>
  <cols>
    <col min="7" max="7" width="17" customWidth="1"/>
    <col min="9" max="9" width="8.6640625" customWidth="1"/>
  </cols>
  <sheetData>
    <row r="2" spans="2:16" x14ac:dyDescent="0.3">
      <c r="B2" s="89" t="s">
        <v>0</v>
      </c>
      <c r="C2" s="60" t="s">
        <v>323</v>
      </c>
      <c r="E2" s="149"/>
      <c r="F2" s="149"/>
      <c r="G2" s="149"/>
    </row>
    <row r="4" spans="2:16" x14ac:dyDescent="0.3">
      <c r="B4" s="3" t="s">
        <v>309</v>
      </c>
      <c r="C4" s="4"/>
      <c r="D4" s="4"/>
      <c r="E4" s="4"/>
      <c r="F4" s="235">
        <v>2023</v>
      </c>
      <c r="G4" s="235"/>
      <c r="H4" s="252" t="s">
        <v>64</v>
      </c>
      <c r="I4" s="252"/>
      <c r="J4" s="259" t="s">
        <v>322</v>
      </c>
      <c r="K4" s="259"/>
      <c r="L4" s="252" t="s">
        <v>321</v>
      </c>
      <c r="M4" s="260"/>
      <c r="P4" s="186"/>
    </row>
    <row r="5" spans="2:16" x14ac:dyDescent="0.3">
      <c r="B5" s="5" t="s">
        <v>311</v>
      </c>
      <c r="F5" s="249" cm="1">
        <f t="array" ref="F5">_xldudf_WISE($C$2,"Gross Profit Ratio",$F$4)</f>
        <v>0.44131129600000002</v>
      </c>
      <c r="G5" s="249"/>
      <c r="H5" s="253" cm="1">
        <f t="array" ref="H5">_xldudf_WISE($C$2,"Gross Profit Ratio",$H$4)</f>
        <v>0.47862405358827936</v>
      </c>
      <c r="I5" s="253"/>
      <c r="J5" s="222">
        <v>0.50290000000000001</v>
      </c>
      <c r="K5" s="222"/>
      <c r="L5" s="222">
        <v>0.47160000000000002</v>
      </c>
      <c r="M5" s="258"/>
    </row>
    <row r="6" spans="2:16" x14ac:dyDescent="0.3">
      <c r="B6" s="5" t="s">
        <v>310</v>
      </c>
      <c r="F6" s="249" cm="1">
        <f t="array" ref="F6">_xldudf_WISE($C$2,"Net Income Ratio",$F$4)</f>
        <v>0.25306234300000002</v>
      </c>
      <c r="G6" s="249"/>
      <c r="H6" s="253" cm="1">
        <f t="array" ref="H6">_xldudf_WISE($C$2,"Net Income Ratio",$H$4)</f>
        <v>0.27151882190846222</v>
      </c>
      <c r="I6" s="253"/>
      <c r="J6" s="222">
        <v>-2.52E-2</v>
      </c>
      <c r="K6" s="222"/>
      <c r="L6" s="222">
        <v>-3.2099999999999997E-2</v>
      </c>
      <c r="M6" s="258"/>
    </row>
    <row r="7" spans="2:16" x14ac:dyDescent="0.3">
      <c r="B7" s="5" t="s">
        <v>312</v>
      </c>
      <c r="F7" s="249" cm="1">
        <f t="array" ref="F7">_xldudf_WISE($C$2,"Return On Tangible Assets",$F$4)</f>
        <v>0.27509834560000002</v>
      </c>
      <c r="G7" s="249"/>
      <c r="H7" s="253" cm="1">
        <f t="array" ref="H7">_xldudf_WISE($C$2,"Return On Tangible Assets",$H$4)</f>
        <v>0.35046662168189668</v>
      </c>
      <c r="I7" s="253"/>
      <c r="J7" s="222">
        <v>-3.4500000000000003E-2</v>
      </c>
      <c r="K7" s="222"/>
      <c r="L7" s="222">
        <v>-1.78E-2</v>
      </c>
      <c r="M7" s="258"/>
    </row>
    <row r="8" spans="2:16" x14ac:dyDescent="0.3">
      <c r="B8" s="5" t="s">
        <v>125</v>
      </c>
      <c r="F8" s="249" cm="1">
        <f t="array" ref="F8">_xldudf_WISE($C$2,"ROE",$F$4)</f>
        <v>1.5607601455</v>
      </c>
      <c r="G8" s="249"/>
      <c r="H8" s="253" cm="1">
        <f t="array" ref="H8">_xldudf_WISE($C$2,"ROE",$H$4)</f>
        <v>1.4668924498270723</v>
      </c>
      <c r="I8" s="253"/>
      <c r="J8" s="222">
        <v>-2.0299999999999999E-2</v>
      </c>
      <c r="K8" s="222"/>
      <c r="L8" s="222">
        <v>-1.55E-2</v>
      </c>
      <c r="M8" s="258"/>
    </row>
    <row r="9" spans="2:16" x14ac:dyDescent="0.3">
      <c r="B9" s="5" t="s">
        <v>313</v>
      </c>
      <c r="F9" s="249" cm="1">
        <f t="array" ref="F9">_xldudf_WISE($C$2,"ROIC",$F$4)</f>
        <v>0.43389182920000002</v>
      </c>
      <c r="G9" s="249"/>
      <c r="H9" s="253" cm="1">
        <f t="array" ref="H9">_xldudf_WISE($C$2,"ROIC",$H$4)</f>
        <v>0.49573922251878821</v>
      </c>
      <c r="I9" s="253"/>
      <c r="J9" s="222">
        <v>-1.9800000000000002E-2</v>
      </c>
      <c r="K9" s="222"/>
      <c r="L9" s="222">
        <v>-9.4000000000000004E-3</v>
      </c>
      <c r="M9" s="258"/>
    </row>
    <row r="10" spans="2:16" x14ac:dyDescent="0.3">
      <c r="B10" s="5"/>
      <c r="I10" s="186"/>
      <c r="M10" s="6"/>
    </row>
    <row r="11" spans="2:16" ht="15" customHeight="1" x14ac:dyDescent="0.3">
      <c r="B11" s="188" t="s">
        <v>314</v>
      </c>
      <c r="C11" s="189"/>
      <c r="D11" s="189"/>
      <c r="E11" s="189"/>
      <c r="F11" s="204">
        <v>2023</v>
      </c>
      <c r="G11" s="204"/>
      <c r="H11" s="204" t="s">
        <v>64</v>
      </c>
      <c r="I11" s="204"/>
      <c r="J11" s="251" t="s">
        <v>322</v>
      </c>
      <c r="K11" s="251"/>
      <c r="L11" s="248" t="s">
        <v>321</v>
      </c>
      <c r="M11" s="255"/>
      <c r="P11" s="186"/>
    </row>
    <row r="12" spans="2:16" x14ac:dyDescent="0.3">
      <c r="B12" s="5" t="s">
        <v>315</v>
      </c>
      <c r="F12" s="238" cm="1">
        <f t="array" ref="F12">_xldudf_WISE($C$2,$B12,F$11)</f>
        <v>27.790811789399999</v>
      </c>
      <c r="G12" s="238"/>
      <c r="H12" s="247" cm="1">
        <f t="array" ref="H12">_xldudf_WISE($C$2,$B12,H$11)</f>
        <v>39.505428226779252</v>
      </c>
      <c r="I12" s="247"/>
      <c r="J12" s="250">
        <v>12.09</v>
      </c>
      <c r="K12" s="250"/>
      <c r="L12" s="250">
        <v>22.79</v>
      </c>
      <c r="M12" s="254"/>
    </row>
    <row r="13" spans="2:16" x14ac:dyDescent="0.3">
      <c r="B13" s="5" t="s">
        <v>316</v>
      </c>
      <c r="F13" s="238" cm="1">
        <f t="array" ref="F13">_xldudf_WISE($C$2,$B13,F$11)</f>
        <v>43.374791450899998</v>
      </c>
      <c r="G13" s="238"/>
      <c r="H13" s="247" cm="1">
        <f t="array" ref="H13">_xldudf_WISE($C$2,$B13,H$11)</f>
        <v>45.241007643838451</v>
      </c>
      <c r="I13" s="247"/>
      <c r="J13" s="250">
        <v>1.42</v>
      </c>
      <c r="K13" s="250"/>
      <c r="L13" s="250">
        <v>2.5299999999999998</v>
      </c>
      <c r="M13" s="254"/>
    </row>
    <row r="14" spans="2:16" x14ac:dyDescent="0.3">
      <c r="B14" s="5" t="s">
        <v>97</v>
      </c>
      <c r="F14" s="238" cm="1">
        <f t="array" ref="F14">_xldudf_WISE($C$2,$B14,F$11)</f>
        <v>7.0328079354000002</v>
      </c>
      <c r="G14" s="238"/>
      <c r="H14" s="247" cm="1">
        <f t="array" ref="H14">_xldudf_WISE($C$2,$B14,H$11)</f>
        <v>10.654987994028026</v>
      </c>
      <c r="I14" s="247"/>
      <c r="J14" s="250">
        <v>1.1299999999999999</v>
      </c>
      <c r="K14" s="250"/>
      <c r="L14" s="250">
        <v>2.38</v>
      </c>
      <c r="M14" s="254"/>
    </row>
    <row r="15" spans="2:16" x14ac:dyDescent="0.3">
      <c r="B15" s="5" t="s">
        <v>85</v>
      </c>
      <c r="F15" s="238" cm="1">
        <f t="array" ref="F15">_xldudf_WISE($C$2,$B15,F$11)</f>
        <v>21.5928320704</v>
      </c>
      <c r="G15" s="238"/>
      <c r="H15" s="247" cm="1">
        <f t="array" ref="H15">_xldudf_WISE($C$2,$B15,H$11)</f>
        <v>30.302697465259588</v>
      </c>
      <c r="I15" s="247"/>
      <c r="J15" s="250">
        <v>4.1100000000000003</v>
      </c>
      <c r="K15" s="250"/>
      <c r="L15" s="250">
        <v>4.45</v>
      </c>
      <c r="M15" s="254"/>
    </row>
    <row r="16" spans="2:16" x14ac:dyDescent="0.3">
      <c r="B16" s="5" t="s">
        <v>81</v>
      </c>
      <c r="F16" s="238" cm="1">
        <f t="array" ref="F16">_xldudf_WISE($C$2,$B16,F$11)</f>
        <v>7.2779649333999998</v>
      </c>
      <c r="G16" s="238"/>
      <c r="H16" s="247" cm="1">
        <f t="array" ref="H16">_xldudf_WISE($C$2,$B16,H$11)</f>
        <v>10.762162337576036</v>
      </c>
      <c r="I16" s="247"/>
      <c r="J16" s="250">
        <v>1.55</v>
      </c>
      <c r="K16" s="250"/>
      <c r="L16" s="250">
        <v>2.27</v>
      </c>
      <c r="M16" s="254"/>
    </row>
    <row r="17" spans="2:13" x14ac:dyDescent="0.3">
      <c r="B17" s="5"/>
      <c r="M17" s="6"/>
    </row>
    <row r="18" spans="2:13" x14ac:dyDescent="0.3">
      <c r="B18" s="188" t="s">
        <v>317</v>
      </c>
      <c r="C18" s="189"/>
      <c r="D18" s="189"/>
      <c r="E18" s="189"/>
      <c r="F18" s="235">
        <v>2023</v>
      </c>
      <c r="G18" s="235"/>
      <c r="H18" s="248" t="s">
        <v>64</v>
      </c>
      <c r="I18" s="248"/>
      <c r="J18" s="251" t="s">
        <v>322</v>
      </c>
      <c r="K18" s="251"/>
      <c r="L18" s="248" t="s">
        <v>321</v>
      </c>
      <c r="M18" s="255"/>
    </row>
    <row r="19" spans="2:13" x14ac:dyDescent="0.3">
      <c r="B19" s="5" t="s">
        <v>318</v>
      </c>
      <c r="F19" s="238" cm="1">
        <f t="array" ref="F19">_xldudf_WISE($C$2,B19,$F$18)</f>
        <v>0.98801167180000005</v>
      </c>
      <c r="G19" s="238"/>
      <c r="H19" s="247" cm="1">
        <f t="array" ref="H19">_xldudf_WISE($C$2,B19,$H$18)</f>
        <v>1.07035746912159</v>
      </c>
      <c r="I19" s="247"/>
      <c r="J19" s="250">
        <v>1.55</v>
      </c>
      <c r="K19" s="250"/>
      <c r="L19" s="250">
        <v>2.2599999999999998</v>
      </c>
      <c r="M19" s="254"/>
    </row>
    <row r="20" spans="2:13" x14ac:dyDescent="0.3">
      <c r="B20" s="5"/>
      <c r="M20" s="6"/>
    </row>
    <row r="21" spans="2:13" x14ac:dyDescent="0.3">
      <c r="B21" s="188" t="s">
        <v>319</v>
      </c>
      <c r="C21" s="189"/>
      <c r="D21" s="189"/>
      <c r="E21" s="189"/>
      <c r="F21" s="235">
        <v>2023</v>
      </c>
      <c r="G21" s="235"/>
      <c r="H21" s="248" t="s">
        <v>64</v>
      </c>
      <c r="I21" s="248"/>
      <c r="J21" s="251" t="s">
        <v>322</v>
      </c>
      <c r="K21" s="251"/>
      <c r="L21" s="248" t="s">
        <v>321</v>
      </c>
      <c r="M21" s="255"/>
    </row>
    <row r="22" spans="2:13" x14ac:dyDescent="0.3">
      <c r="B22" s="5" t="s">
        <v>320</v>
      </c>
      <c r="F22" s="238" cm="1">
        <f t="array" ref="F22">_xldudf_WISE($C$2,"Debt to equity",$F21)</f>
        <v>1.9941750072</v>
      </c>
      <c r="G22" s="238"/>
      <c r="H22" s="247" cm="1">
        <f t="array" ref="H22">_xldudf_WISE($C$2,"Debt to equity",$H21)</f>
        <v>0.7954756740006198</v>
      </c>
      <c r="I22" s="247"/>
      <c r="J22" s="250">
        <v>0.56000000000000005</v>
      </c>
      <c r="K22" s="250"/>
      <c r="L22" s="250">
        <v>0.26</v>
      </c>
      <c r="M22" s="254"/>
    </row>
    <row r="23" spans="2:13" x14ac:dyDescent="0.3">
      <c r="B23" s="5" t="s">
        <v>107</v>
      </c>
      <c r="F23" s="238" cm="1">
        <f t="array" ref="F23">_xldudf_WISE($C$2,B23,$F$21)</f>
        <v>29.062039155899999</v>
      </c>
      <c r="G23" s="238"/>
      <c r="H23" s="247" cm="1">
        <f t="array" ref="H23">_xldudf_WISE($C$2,B23,$H$21)</f>
        <v>0</v>
      </c>
      <c r="I23" s="247"/>
      <c r="J23" s="250">
        <v>2.71</v>
      </c>
      <c r="K23" s="250"/>
      <c r="L23" s="250">
        <v>16.09</v>
      </c>
      <c r="M23" s="254"/>
    </row>
    <row r="24" spans="2:13" x14ac:dyDescent="0.3">
      <c r="B24" s="5" t="s">
        <v>242</v>
      </c>
      <c r="F24" s="238" cm="1">
        <f t="array" ref="F24">_xldudf_WISE($C$2,B24,$F$21)</f>
        <v>58.075648668699998</v>
      </c>
      <c r="G24" s="238"/>
      <c r="H24" s="247" cm="1">
        <f t="array" ref="H24">_xldudf_WISE($C$2,B24,$H$21)</f>
        <v>43.264727251784286</v>
      </c>
      <c r="I24" s="247"/>
      <c r="J24" s="250">
        <v>45.52</v>
      </c>
      <c r="K24" s="250"/>
      <c r="L24" s="250">
        <v>54.98</v>
      </c>
      <c r="M24" s="254"/>
    </row>
    <row r="25" spans="2:13" x14ac:dyDescent="0.3">
      <c r="B25" s="5" t="s">
        <v>243</v>
      </c>
      <c r="F25" s="238" cm="1">
        <f t="array" ref="F25">_xldudf_WISE($C$2,B25,$F$21)</f>
        <v>106.72146803210001</v>
      </c>
      <c r="G25" s="238"/>
      <c r="H25" s="247" cm="1">
        <f t="array" ref="H25">_xldudf_WISE($C$2,B25,$H$21)</f>
        <v>88.93357720364871</v>
      </c>
      <c r="I25" s="247"/>
      <c r="J25" s="250">
        <v>48.68</v>
      </c>
      <c r="K25" s="250"/>
      <c r="L25" s="250">
        <v>50.22</v>
      </c>
      <c r="M25" s="254"/>
    </row>
    <row r="26" spans="2:13" x14ac:dyDescent="0.3">
      <c r="B26" s="13" t="s">
        <v>244</v>
      </c>
      <c r="C26" s="14"/>
      <c r="D26" s="14"/>
      <c r="E26" s="14"/>
      <c r="F26" s="246" cm="1">
        <f t="array" ref="F26">_xldudf_WISE($C$2,B26,$F$21)</f>
        <v>10.7912924903</v>
      </c>
      <c r="G26" s="246"/>
      <c r="H26" s="233" cm="1">
        <f t="array" ref="H26">_xldudf_WISE($C$2,B26,$H$21)</f>
        <v>10.462865008858357</v>
      </c>
      <c r="I26" s="233"/>
      <c r="J26" s="256">
        <v>24.83</v>
      </c>
      <c r="K26" s="256"/>
      <c r="L26" s="256">
        <v>84.73</v>
      </c>
      <c r="M26" s="257"/>
    </row>
  </sheetData>
  <mergeCells count="80">
    <mergeCell ref="L11:M11"/>
    <mergeCell ref="L8:M8"/>
    <mergeCell ref="L9:M9"/>
    <mergeCell ref="J12:K12"/>
    <mergeCell ref="L12:M12"/>
    <mergeCell ref="J8:K8"/>
    <mergeCell ref="J9:K9"/>
    <mergeCell ref="L5:M5"/>
    <mergeCell ref="L6:M6"/>
    <mergeCell ref="L7:M7"/>
    <mergeCell ref="J4:K4"/>
    <mergeCell ref="L4:M4"/>
    <mergeCell ref="J5:K5"/>
    <mergeCell ref="J6:K6"/>
    <mergeCell ref="J7:K7"/>
    <mergeCell ref="L18:M18"/>
    <mergeCell ref="J13:K13"/>
    <mergeCell ref="L13:M13"/>
    <mergeCell ref="J14:K14"/>
    <mergeCell ref="L14:M14"/>
    <mergeCell ref="L15:M15"/>
    <mergeCell ref="J16:K16"/>
    <mergeCell ref="L16:M16"/>
    <mergeCell ref="F24:G24"/>
    <mergeCell ref="F25:G25"/>
    <mergeCell ref="J19:K19"/>
    <mergeCell ref="J15:K15"/>
    <mergeCell ref="F23:G23"/>
    <mergeCell ref="L19:M19"/>
    <mergeCell ref="J21:K21"/>
    <mergeCell ref="L21:M21"/>
    <mergeCell ref="L25:M25"/>
    <mergeCell ref="J26:K26"/>
    <mergeCell ref="L26:M26"/>
    <mergeCell ref="J22:K22"/>
    <mergeCell ref="L22:M22"/>
    <mergeCell ref="J23:K23"/>
    <mergeCell ref="L23:M23"/>
    <mergeCell ref="J24:K24"/>
    <mergeCell ref="L24:M24"/>
    <mergeCell ref="H4:I4"/>
    <mergeCell ref="H5:I5"/>
    <mergeCell ref="H9:I9"/>
    <mergeCell ref="H8:I8"/>
    <mergeCell ref="H7:I7"/>
    <mergeCell ref="H6:I6"/>
    <mergeCell ref="H11:I11"/>
    <mergeCell ref="H12:I12"/>
    <mergeCell ref="H19:I19"/>
    <mergeCell ref="J25:K25"/>
    <mergeCell ref="J18:K18"/>
    <mergeCell ref="J11:K11"/>
    <mergeCell ref="H16:I16"/>
    <mergeCell ref="H15:I15"/>
    <mergeCell ref="F4:G4"/>
    <mergeCell ref="F11:G11"/>
    <mergeCell ref="F18:G18"/>
    <mergeCell ref="F21:G21"/>
    <mergeCell ref="F5:G5"/>
    <mergeCell ref="F6:G6"/>
    <mergeCell ref="F7:G7"/>
    <mergeCell ref="F8:G8"/>
    <mergeCell ref="F9:G9"/>
    <mergeCell ref="F12:G12"/>
    <mergeCell ref="F26:G26"/>
    <mergeCell ref="H13:I13"/>
    <mergeCell ref="F13:G13"/>
    <mergeCell ref="F14:G14"/>
    <mergeCell ref="F15:G15"/>
    <mergeCell ref="F16:G16"/>
    <mergeCell ref="F19:G19"/>
    <mergeCell ref="F22:G22"/>
    <mergeCell ref="H26:I26"/>
    <mergeCell ref="H25:I25"/>
    <mergeCell ref="H24:I24"/>
    <mergeCell ref="H23:I23"/>
    <mergeCell ref="H22:I22"/>
    <mergeCell ref="H18:I18"/>
    <mergeCell ref="H21:I21"/>
    <mergeCell ref="H14:I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814F-14CF-4284-945D-6BB79251F370}">
  <dimension ref="B2:D2560"/>
  <sheetViews>
    <sheetView topLeftCell="A62" zoomScaleNormal="100" workbookViewId="0">
      <selection activeCell="B6" sqref="B6"/>
    </sheetView>
  </sheetViews>
  <sheetFormatPr defaultColWidth="8.77734375" defaultRowHeight="14.4" x14ac:dyDescent="0.3"/>
  <sheetData>
    <row r="2" spans="2:4" x14ac:dyDescent="0.3">
      <c r="B2" t="str">
        <f>INFO!E2</f>
        <v>AAPL</v>
      </c>
    </row>
    <row r="3" spans="2:4" x14ac:dyDescent="0.3">
      <c r="B3" t="s">
        <v>148</v>
      </c>
    </row>
    <row r="5" spans="2:4" x14ac:dyDescent="0.3">
      <c r="B5" t="str" cm="1">
        <f t="array" ref="B5:C1761">_xldudf_WISEPRICE(B2,B3,365*7)</f>
        <v>2026-07-16</v>
      </c>
      <c r="C5">
        <v>327.5</v>
      </c>
    </row>
    <row r="6" spans="2:4" x14ac:dyDescent="0.3">
      <c r="B6" t="str">
        <v>2026-07-15</v>
      </c>
      <c r="C6">
        <v>327.5</v>
      </c>
      <c r="D6" s="2"/>
    </row>
    <row r="7" spans="2:4" x14ac:dyDescent="0.3">
      <c r="B7" t="str">
        <v>2026-07-14</v>
      </c>
      <c r="C7">
        <v>314.86</v>
      </c>
      <c r="D7" s="2"/>
    </row>
    <row r="8" spans="2:4" x14ac:dyDescent="0.3">
      <c r="B8" t="str">
        <v>2026-07-13</v>
      </c>
      <c r="C8">
        <v>317.31</v>
      </c>
      <c r="D8" s="2"/>
    </row>
    <row r="9" spans="2:4" x14ac:dyDescent="0.3">
      <c r="B9" t="str">
        <v>2026-07-10</v>
      </c>
      <c r="C9">
        <v>315.32</v>
      </c>
      <c r="D9" s="2"/>
    </row>
    <row r="10" spans="2:4" x14ac:dyDescent="0.3">
      <c r="B10" t="str">
        <v>2026-07-09</v>
      </c>
      <c r="C10">
        <v>316.22000000000003</v>
      </c>
      <c r="D10" s="2"/>
    </row>
    <row r="11" spans="2:4" x14ac:dyDescent="0.3">
      <c r="B11" t="str">
        <v>2026-07-08</v>
      </c>
      <c r="C11">
        <v>313.39</v>
      </c>
      <c r="D11" s="2"/>
    </row>
    <row r="12" spans="2:4" x14ac:dyDescent="0.3">
      <c r="B12" t="str">
        <v>2026-07-07</v>
      </c>
      <c r="C12">
        <v>310.66000000000003</v>
      </c>
      <c r="D12" s="2"/>
    </row>
    <row r="13" spans="2:4" x14ac:dyDescent="0.3">
      <c r="B13" t="str">
        <v>2026-07-06</v>
      </c>
      <c r="C13">
        <v>312.66000000000003</v>
      </c>
      <c r="D13" s="2"/>
    </row>
    <row r="14" spans="2:4" x14ac:dyDescent="0.3">
      <c r="B14" t="str">
        <v>2026-07-02</v>
      </c>
      <c r="C14">
        <v>308.63</v>
      </c>
      <c r="D14" s="2"/>
    </row>
    <row r="15" spans="2:4" x14ac:dyDescent="0.3">
      <c r="B15" t="str">
        <v>2026-07-01</v>
      </c>
      <c r="C15">
        <v>294.38</v>
      </c>
      <c r="D15" s="2"/>
    </row>
    <row r="16" spans="2:4" x14ac:dyDescent="0.3">
      <c r="B16" t="str">
        <v>2026-06-30</v>
      </c>
      <c r="C16">
        <v>289.36</v>
      </c>
      <c r="D16" s="2"/>
    </row>
    <row r="17" spans="2:4" x14ac:dyDescent="0.3">
      <c r="B17" t="str">
        <v>2026-06-29</v>
      </c>
      <c r="C17">
        <v>281.74</v>
      </c>
      <c r="D17" s="2"/>
    </row>
    <row r="18" spans="2:4" x14ac:dyDescent="0.3">
      <c r="B18" t="str">
        <v>2026-06-26</v>
      </c>
      <c r="C18">
        <v>283.77999999999997</v>
      </c>
      <c r="D18" s="2"/>
    </row>
    <row r="19" spans="2:4" x14ac:dyDescent="0.3">
      <c r="B19" t="str">
        <v>2026-06-25</v>
      </c>
      <c r="C19">
        <v>275.14999999999998</v>
      </c>
      <c r="D19" s="2"/>
    </row>
    <row r="20" spans="2:4" x14ac:dyDescent="0.3">
      <c r="B20" t="str">
        <v>2026-06-24</v>
      </c>
      <c r="C20">
        <v>293.08</v>
      </c>
      <c r="D20" s="2"/>
    </row>
    <row r="21" spans="2:4" x14ac:dyDescent="0.3">
      <c r="B21" t="str">
        <v>2026-06-23</v>
      </c>
      <c r="C21">
        <v>294.3</v>
      </c>
      <c r="D21" s="2"/>
    </row>
    <row r="22" spans="2:4" x14ac:dyDescent="0.3">
      <c r="B22" t="str">
        <v>2026-06-22</v>
      </c>
      <c r="C22">
        <v>297.01</v>
      </c>
      <c r="D22" s="2"/>
    </row>
    <row r="23" spans="2:4" x14ac:dyDescent="0.3">
      <c r="B23" t="str">
        <v>2026-06-18</v>
      </c>
      <c r="C23">
        <v>298.01</v>
      </c>
      <c r="D23" s="2"/>
    </row>
    <row r="24" spans="2:4" x14ac:dyDescent="0.3">
      <c r="B24" t="str">
        <v>2026-06-17</v>
      </c>
      <c r="C24">
        <v>295.95</v>
      </c>
      <c r="D24" s="2"/>
    </row>
    <row r="25" spans="2:4" x14ac:dyDescent="0.3">
      <c r="B25" t="str">
        <v>2026-06-16</v>
      </c>
      <c r="C25">
        <v>299.24</v>
      </c>
      <c r="D25" s="2"/>
    </row>
    <row r="26" spans="2:4" x14ac:dyDescent="0.3">
      <c r="B26" t="str">
        <v>2026-06-15</v>
      </c>
      <c r="C26">
        <v>296.42</v>
      </c>
      <c r="D26" s="2"/>
    </row>
    <row r="27" spans="2:4" x14ac:dyDescent="0.3">
      <c r="B27" t="str">
        <v>2026-06-12</v>
      </c>
      <c r="C27">
        <v>291.13</v>
      </c>
      <c r="D27" s="2"/>
    </row>
    <row r="28" spans="2:4" x14ac:dyDescent="0.3">
      <c r="B28" t="str">
        <v>2026-06-11</v>
      </c>
      <c r="C28">
        <v>295.63</v>
      </c>
      <c r="D28" s="2"/>
    </row>
    <row r="29" spans="2:4" x14ac:dyDescent="0.3">
      <c r="B29" t="str">
        <v>2026-06-10</v>
      </c>
      <c r="C29">
        <v>291.58</v>
      </c>
      <c r="D29" s="2"/>
    </row>
    <row r="30" spans="2:4" x14ac:dyDescent="0.3">
      <c r="B30" t="str">
        <v>2026-06-09</v>
      </c>
      <c r="C30">
        <v>290.55</v>
      </c>
      <c r="D30" s="2"/>
    </row>
    <row r="31" spans="2:4" x14ac:dyDescent="0.3">
      <c r="B31" t="str">
        <v>2026-06-08</v>
      </c>
      <c r="C31">
        <v>301.54000000000002</v>
      </c>
      <c r="D31" s="2"/>
    </row>
    <row r="32" spans="2:4" x14ac:dyDescent="0.3">
      <c r="B32" t="str">
        <v>2026-06-05</v>
      </c>
      <c r="C32">
        <v>307.33999999999997</v>
      </c>
      <c r="D32" s="2"/>
    </row>
    <row r="33" spans="2:4" x14ac:dyDescent="0.3">
      <c r="B33" t="str">
        <v>2026-06-04</v>
      </c>
      <c r="C33">
        <v>311.23</v>
      </c>
      <c r="D33" s="2"/>
    </row>
    <row r="34" spans="2:4" x14ac:dyDescent="0.3">
      <c r="B34" t="str">
        <v>2026-06-03</v>
      </c>
      <c r="C34">
        <v>310.26</v>
      </c>
      <c r="D34" s="2"/>
    </row>
    <row r="35" spans="2:4" x14ac:dyDescent="0.3">
      <c r="B35" t="str">
        <v>2026-06-02</v>
      </c>
      <c r="C35">
        <v>315.2</v>
      </c>
      <c r="D35" s="2"/>
    </row>
    <row r="36" spans="2:4" x14ac:dyDescent="0.3">
      <c r="B36" t="str">
        <v>2026-06-01</v>
      </c>
      <c r="C36">
        <v>306.31</v>
      </c>
      <c r="D36" s="2"/>
    </row>
    <row r="37" spans="2:4" x14ac:dyDescent="0.3">
      <c r="B37" t="str">
        <v>2026-05-29</v>
      </c>
      <c r="C37">
        <v>312.06</v>
      </c>
      <c r="D37" s="2"/>
    </row>
    <row r="38" spans="2:4" x14ac:dyDescent="0.3">
      <c r="B38" t="str">
        <v>2026-05-28</v>
      </c>
      <c r="C38">
        <v>312.51</v>
      </c>
      <c r="D38" s="2"/>
    </row>
    <row r="39" spans="2:4" x14ac:dyDescent="0.3">
      <c r="B39" t="str">
        <v>2026-05-27</v>
      </c>
      <c r="C39">
        <v>310.85000000000002</v>
      </c>
      <c r="D39" s="2"/>
    </row>
    <row r="40" spans="2:4" x14ac:dyDescent="0.3">
      <c r="B40" t="str">
        <v>2026-05-26</v>
      </c>
      <c r="C40">
        <v>308.33</v>
      </c>
      <c r="D40" s="2"/>
    </row>
    <row r="41" spans="2:4" x14ac:dyDescent="0.3">
      <c r="B41" t="str">
        <v>2026-05-22</v>
      </c>
      <c r="C41">
        <v>308.82</v>
      </c>
      <c r="D41" s="2"/>
    </row>
    <row r="42" spans="2:4" x14ac:dyDescent="0.3">
      <c r="B42" t="str">
        <v>2026-05-21</v>
      </c>
      <c r="C42">
        <v>304.99</v>
      </c>
      <c r="D42" s="2"/>
    </row>
    <row r="43" spans="2:4" x14ac:dyDescent="0.3">
      <c r="B43" t="str">
        <v>2026-05-20</v>
      </c>
      <c r="C43">
        <v>302.25</v>
      </c>
      <c r="D43" s="2"/>
    </row>
    <row r="44" spans="2:4" x14ac:dyDescent="0.3">
      <c r="B44" t="str">
        <v>2026-05-19</v>
      </c>
      <c r="C44">
        <v>298.97000000000003</v>
      </c>
      <c r="D44" s="2"/>
    </row>
    <row r="45" spans="2:4" x14ac:dyDescent="0.3">
      <c r="B45" t="str">
        <v>2026-05-18</v>
      </c>
      <c r="C45">
        <v>297.83999999999997</v>
      </c>
      <c r="D45" s="2"/>
    </row>
    <row r="46" spans="2:4" x14ac:dyDescent="0.3">
      <c r="B46" t="str">
        <v>2026-05-15</v>
      </c>
      <c r="C46">
        <v>300.23</v>
      </c>
      <c r="D46" s="2"/>
    </row>
    <row r="47" spans="2:4" x14ac:dyDescent="0.3">
      <c r="B47" t="str">
        <v>2026-05-14</v>
      </c>
      <c r="C47">
        <v>298.20999999999998</v>
      </c>
      <c r="D47" s="2"/>
    </row>
    <row r="48" spans="2:4" x14ac:dyDescent="0.3">
      <c r="B48" t="str">
        <v>2026-05-13</v>
      </c>
      <c r="C48">
        <v>298.87</v>
      </c>
      <c r="D48" s="2"/>
    </row>
    <row r="49" spans="2:4" x14ac:dyDescent="0.3">
      <c r="B49" t="str">
        <v>2026-05-12</v>
      </c>
      <c r="C49">
        <v>294.8</v>
      </c>
      <c r="D49" s="2"/>
    </row>
    <row r="50" spans="2:4" x14ac:dyDescent="0.3">
      <c r="B50" t="str">
        <v>2026-05-11</v>
      </c>
      <c r="C50">
        <v>292.68</v>
      </c>
      <c r="D50" s="2"/>
    </row>
    <row r="51" spans="2:4" x14ac:dyDescent="0.3">
      <c r="B51" t="str">
        <v>2026-05-08</v>
      </c>
      <c r="C51">
        <v>293.32</v>
      </c>
      <c r="D51" s="2"/>
    </row>
    <row r="52" spans="2:4" x14ac:dyDescent="0.3">
      <c r="B52" t="str">
        <v>2026-05-07</v>
      </c>
      <c r="C52">
        <v>287.44</v>
      </c>
      <c r="D52" s="2"/>
    </row>
    <row r="53" spans="2:4" x14ac:dyDescent="0.3">
      <c r="B53" t="str">
        <v>2026-05-06</v>
      </c>
      <c r="C53">
        <v>287.51</v>
      </c>
      <c r="D53" s="2"/>
    </row>
    <row r="54" spans="2:4" x14ac:dyDescent="0.3">
      <c r="B54" t="str">
        <v>2026-05-05</v>
      </c>
      <c r="C54">
        <v>284.18</v>
      </c>
      <c r="D54" s="2"/>
    </row>
    <row r="55" spans="2:4" x14ac:dyDescent="0.3">
      <c r="B55" t="str">
        <v>2026-05-04</v>
      </c>
      <c r="C55">
        <v>276.83</v>
      </c>
      <c r="D55" s="2"/>
    </row>
    <row r="56" spans="2:4" x14ac:dyDescent="0.3">
      <c r="B56" t="str">
        <v>2026-05-01</v>
      </c>
      <c r="C56">
        <v>280.14</v>
      </c>
      <c r="D56" s="2"/>
    </row>
    <row r="57" spans="2:4" x14ac:dyDescent="0.3">
      <c r="B57" t="str">
        <v>2026-04-30</v>
      </c>
      <c r="C57">
        <v>271.35000000000002</v>
      </c>
      <c r="D57" s="2"/>
    </row>
    <row r="58" spans="2:4" x14ac:dyDescent="0.3">
      <c r="B58" t="str">
        <v>2026-04-29</v>
      </c>
      <c r="C58">
        <v>270.22000000000003</v>
      </c>
      <c r="D58" s="2"/>
    </row>
    <row r="59" spans="2:4" x14ac:dyDescent="0.3">
      <c r="B59" t="str">
        <v>2026-04-28</v>
      </c>
      <c r="C59">
        <v>270.70999999999998</v>
      </c>
      <c r="D59" s="2"/>
    </row>
    <row r="60" spans="2:4" x14ac:dyDescent="0.3">
      <c r="B60" t="str">
        <v>2026-04-27</v>
      </c>
      <c r="C60">
        <v>267.61</v>
      </c>
      <c r="D60" s="2"/>
    </row>
    <row r="61" spans="2:4" x14ac:dyDescent="0.3">
      <c r="B61" t="str">
        <v>2026-04-24</v>
      </c>
      <c r="C61">
        <v>271.06</v>
      </c>
      <c r="D61" s="2"/>
    </row>
    <row r="62" spans="2:4" x14ac:dyDescent="0.3">
      <c r="B62" t="str">
        <v>2026-04-23</v>
      </c>
      <c r="C62">
        <v>273.43</v>
      </c>
      <c r="D62" s="2"/>
    </row>
    <row r="63" spans="2:4" x14ac:dyDescent="0.3">
      <c r="B63" t="str">
        <v>2026-04-22</v>
      </c>
      <c r="C63">
        <v>273.17</v>
      </c>
      <c r="D63" s="2"/>
    </row>
    <row r="64" spans="2:4" x14ac:dyDescent="0.3">
      <c r="B64" t="str">
        <v>2026-04-21</v>
      </c>
      <c r="C64">
        <v>266.17</v>
      </c>
      <c r="D64" s="2"/>
    </row>
    <row r="65" spans="2:4" x14ac:dyDescent="0.3">
      <c r="B65" t="str">
        <v>2026-04-20</v>
      </c>
      <c r="C65">
        <v>273.05</v>
      </c>
      <c r="D65" s="2"/>
    </row>
    <row r="66" spans="2:4" x14ac:dyDescent="0.3">
      <c r="B66" t="str">
        <v>2026-04-17</v>
      </c>
      <c r="C66">
        <v>270.23</v>
      </c>
      <c r="D66" s="2"/>
    </row>
    <row r="67" spans="2:4" x14ac:dyDescent="0.3">
      <c r="B67" t="str">
        <v>2026-04-16</v>
      </c>
      <c r="C67">
        <v>263.39999999999998</v>
      </c>
      <c r="D67" s="2"/>
    </row>
    <row r="68" spans="2:4" x14ac:dyDescent="0.3">
      <c r="B68" t="str">
        <v>2026-04-15</v>
      </c>
      <c r="C68">
        <v>266.43</v>
      </c>
      <c r="D68" s="2"/>
    </row>
    <row r="69" spans="2:4" x14ac:dyDescent="0.3">
      <c r="B69" t="str">
        <v>2026-04-14</v>
      </c>
      <c r="C69">
        <v>258.83</v>
      </c>
      <c r="D69" s="2"/>
    </row>
    <row r="70" spans="2:4" x14ac:dyDescent="0.3">
      <c r="B70" t="str">
        <v>2026-04-13</v>
      </c>
      <c r="C70">
        <v>259.2</v>
      </c>
      <c r="D70" s="2"/>
    </row>
    <row r="71" spans="2:4" x14ac:dyDescent="0.3">
      <c r="B71" t="str">
        <v>2026-04-10</v>
      </c>
      <c r="C71">
        <v>260.48</v>
      </c>
      <c r="D71" s="2"/>
    </row>
    <row r="72" spans="2:4" x14ac:dyDescent="0.3">
      <c r="B72" t="str">
        <v>2026-04-09</v>
      </c>
      <c r="C72">
        <v>260.49</v>
      </c>
      <c r="D72" s="2"/>
    </row>
    <row r="73" spans="2:4" x14ac:dyDescent="0.3">
      <c r="B73" t="str">
        <v>2026-04-08</v>
      </c>
      <c r="C73">
        <v>258.89999999999998</v>
      </c>
      <c r="D73" s="2"/>
    </row>
    <row r="74" spans="2:4" x14ac:dyDescent="0.3">
      <c r="B74" t="str">
        <v>2026-04-07</v>
      </c>
      <c r="C74">
        <v>253.5</v>
      </c>
      <c r="D74" s="2"/>
    </row>
    <row r="75" spans="2:4" x14ac:dyDescent="0.3">
      <c r="B75" t="str">
        <v>2026-04-06</v>
      </c>
      <c r="C75">
        <v>258.86</v>
      </c>
      <c r="D75" s="2"/>
    </row>
    <row r="76" spans="2:4" x14ac:dyDescent="0.3">
      <c r="B76" t="str">
        <v>2026-04-02</v>
      </c>
      <c r="C76">
        <v>255.92</v>
      </c>
      <c r="D76" s="2"/>
    </row>
    <row r="77" spans="2:4" x14ac:dyDescent="0.3">
      <c r="B77" t="str">
        <v>2026-04-01</v>
      </c>
      <c r="C77">
        <v>255.63</v>
      </c>
      <c r="D77" s="2"/>
    </row>
    <row r="78" spans="2:4" x14ac:dyDescent="0.3">
      <c r="B78" t="str">
        <v>2026-03-31</v>
      </c>
      <c r="C78">
        <v>253.79</v>
      </c>
      <c r="D78" s="2"/>
    </row>
    <row r="79" spans="2:4" x14ac:dyDescent="0.3">
      <c r="B79" t="str">
        <v>2026-03-30</v>
      </c>
      <c r="C79">
        <v>246.63</v>
      </c>
      <c r="D79" s="2"/>
    </row>
    <row r="80" spans="2:4" x14ac:dyDescent="0.3">
      <c r="B80" t="str">
        <v>2026-03-27</v>
      </c>
      <c r="C80">
        <v>248.8</v>
      </c>
      <c r="D80" s="2"/>
    </row>
    <row r="81" spans="2:4" x14ac:dyDescent="0.3">
      <c r="B81" t="str">
        <v>2026-03-26</v>
      </c>
      <c r="C81">
        <v>252.89</v>
      </c>
      <c r="D81" s="2"/>
    </row>
    <row r="82" spans="2:4" x14ac:dyDescent="0.3">
      <c r="B82" t="str">
        <v>2026-03-25</v>
      </c>
      <c r="C82">
        <v>252.62</v>
      </c>
      <c r="D82" s="2"/>
    </row>
    <row r="83" spans="2:4" x14ac:dyDescent="0.3">
      <c r="B83" t="str">
        <v>2026-03-24</v>
      </c>
      <c r="C83">
        <v>251.64</v>
      </c>
      <c r="D83" s="2"/>
    </row>
    <row r="84" spans="2:4" x14ac:dyDescent="0.3">
      <c r="B84" t="str">
        <v>2026-03-23</v>
      </c>
      <c r="C84">
        <v>251.49</v>
      </c>
      <c r="D84" s="2"/>
    </row>
    <row r="85" spans="2:4" x14ac:dyDescent="0.3">
      <c r="B85" t="str">
        <v>2026-03-20</v>
      </c>
      <c r="C85">
        <v>247.99</v>
      </c>
      <c r="D85" s="2"/>
    </row>
    <row r="86" spans="2:4" x14ac:dyDescent="0.3">
      <c r="B86" t="str">
        <v>2026-03-19</v>
      </c>
      <c r="C86">
        <v>248.96</v>
      </c>
      <c r="D86" s="2"/>
    </row>
    <row r="87" spans="2:4" x14ac:dyDescent="0.3">
      <c r="B87" t="str">
        <v>2026-03-18</v>
      </c>
      <c r="C87">
        <v>249.94</v>
      </c>
      <c r="D87" s="2"/>
    </row>
    <row r="88" spans="2:4" x14ac:dyDescent="0.3">
      <c r="B88" t="str">
        <v>2026-03-17</v>
      </c>
      <c r="C88">
        <v>254.23</v>
      </c>
      <c r="D88" s="2"/>
    </row>
    <row r="89" spans="2:4" x14ac:dyDescent="0.3">
      <c r="B89" t="str">
        <v>2026-03-16</v>
      </c>
      <c r="C89">
        <v>252.82</v>
      </c>
      <c r="D89" s="2"/>
    </row>
    <row r="90" spans="2:4" x14ac:dyDescent="0.3">
      <c r="B90" t="str">
        <v>2026-03-13</v>
      </c>
      <c r="C90">
        <v>250.12</v>
      </c>
      <c r="D90" s="2"/>
    </row>
    <row r="91" spans="2:4" x14ac:dyDescent="0.3">
      <c r="B91" t="str">
        <v>2026-03-12</v>
      </c>
      <c r="C91">
        <v>255.76</v>
      </c>
      <c r="D91" s="2"/>
    </row>
    <row r="92" spans="2:4" x14ac:dyDescent="0.3">
      <c r="B92" t="str">
        <v>2026-03-11</v>
      </c>
      <c r="C92">
        <v>260.81</v>
      </c>
      <c r="D92" s="2"/>
    </row>
    <row r="93" spans="2:4" x14ac:dyDescent="0.3">
      <c r="B93" t="str">
        <v>2026-03-10</v>
      </c>
      <c r="C93">
        <v>260.83</v>
      </c>
      <c r="D93" s="2"/>
    </row>
    <row r="94" spans="2:4" x14ac:dyDescent="0.3">
      <c r="B94" t="str">
        <v>2026-03-09</v>
      </c>
      <c r="C94">
        <v>259.88</v>
      </c>
      <c r="D94" s="2"/>
    </row>
    <row r="95" spans="2:4" x14ac:dyDescent="0.3">
      <c r="B95" t="str">
        <v>2026-03-06</v>
      </c>
      <c r="C95">
        <v>257.45999999999998</v>
      </c>
      <c r="D95" s="2"/>
    </row>
    <row r="96" spans="2:4" x14ac:dyDescent="0.3">
      <c r="B96" t="str">
        <v>2026-03-05</v>
      </c>
      <c r="C96">
        <v>260.29000000000002</v>
      </c>
      <c r="D96" s="2"/>
    </row>
    <row r="97" spans="2:4" x14ac:dyDescent="0.3">
      <c r="B97" t="str">
        <v>2026-03-04</v>
      </c>
      <c r="C97">
        <v>262.52</v>
      </c>
      <c r="D97" s="2"/>
    </row>
    <row r="98" spans="2:4" x14ac:dyDescent="0.3">
      <c r="B98" t="str">
        <v>2026-03-03</v>
      </c>
      <c r="C98">
        <v>263.75</v>
      </c>
      <c r="D98" s="2"/>
    </row>
    <row r="99" spans="2:4" x14ac:dyDescent="0.3">
      <c r="B99" t="str">
        <v>2026-03-02</v>
      </c>
      <c r="C99">
        <v>264.72000000000003</v>
      </c>
      <c r="D99" s="2"/>
    </row>
    <row r="100" spans="2:4" x14ac:dyDescent="0.3">
      <c r="B100" t="str">
        <v>2026-02-27</v>
      </c>
      <c r="C100">
        <v>264.18</v>
      </c>
      <c r="D100" s="2"/>
    </row>
    <row r="101" spans="2:4" x14ac:dyDescent="0.3">
      <c r="B101" t="str">
        <v>2026-02-26</v>
      </c>
      <c r="C101">
        <v>272.95</v>
      </c>
      <c r="D101" s="2"/>
    </row>
    <row r="102" spans="2:4" x14ac:dyDescent="0.3">
      <c r="B102" t="str">
        <v>2026-02-25</v>
      </c>
      <c r="C102">
        <v>274.23</v>
      </c>
      <c r="D102" s="2"/>
    </row>
    <row r="103" spans="2:4" x14ac:dyDescent="0.3">
      <c r="B103" t="str">
        <v>2026-02-24</v>
      </c>
      <c r="C103">
        <v>272.14</v>
      </c>
      <c r="D103" s="2"/>
    </row>
    <row r="104" spans="2:4" x14ac:dyDescent="0.3">
      <c r="B104" t="str">
        <v>2026-02-23</v>
      </c>
      <c r="C104">
        <v>266.18</v>
      </c>
      <c r="D104" s="2"/>
    </row>
    <row r="105" spans="2:4" x14ac:dyDescent="0.3">
      <c r="B105" t="str">
        <v>2026-02-20</v>
      </c>
      <c r="C105">
        <v>264.58</v>
      </c>
      <c r="D105" s="2"/>
    </row>
    <row r="106" spans="2:4" x14ac:dyDescent="0.3">
      <c r="B106" t="str">
        <v>2026-02-19</v>
      </c>
      <c r="C106">
        <v>260.58</v>
      </c>
      <c r="D106" s="2"/>
    </row>
    <row r="107" spans="2:4" x14ac:dyDescent="0.3">
      <c r="B107" t="str">
        <v>2026-02-18</v>
      </c>
      <c r="C107">
        <v>264.35000000000002</v>
      </c>
      <c r="D107" s="2"/>
    </row>
    <row r="108" spans="2:4" x14ac:dyDescent="0.3">
      <c r="B108" t="str">
        <v>2026-02-17</v>
      </c>
      <c r="C108">
        <v>263.88</v>
      </c>
      <c r="D108" s="2"/>
    </row>
    <row r="109" spans="2:4" x14ac:dyDescent="0.3">
      <c r="B109" t="str">
        <v>2026-02-13</v>
      </c>
      <c r="C109">
        <v>255.78</v>
      </c>
      <c r="D109" s="2"/>
    </row>
    <row r="110" spans="2:4" x14ac:dyDescent="0.3">
      <c r="B110" t="str">
        <v>2026-02-12</v>
      </c>
      <c r="C110">
        <v>261.73</v>
      </c>
      <c r="D110" s="2"/>
    </row>
    <row r="111" spans="2:4" x14ac:dyDescent="0.3">
      <c r="B111" t="str">
        <v>2026-02-11</v>
      </c>
      <c r="C111">
        <v>275.5</v>
      </c>
      <c r="D111" s="2"/>
    </row>
    <row r="112" spans="2:4" x14ac:dyDescent="0.3">
      <c r="B112" t="str">
        <v>2026-02-10</v>
      </c>
      <c r="C112">
        <v>273.68</v>
      </c>
      <c r="D112" s="2"/>
    </row>
    <row r="113" spans="2:4" x14ac:dyDescent="0.3">
      <c r="B113" t="str">
        <v>2026-02-09</v>
      </c>
      <c r="C113">
        <v>274.62</v>
      </c>
      <c r="D113" s="2"/>
    </row>
    <row r="114" spans="2:4" x14ac:dyDescent="0.3">
      <c r="B114" t="str">
        <v>2026-02-06</v>
      </c>
      <c r="C114">
        <v>278.12</v>
      </c>
      <c r="D114" s="2"/>
    </row>
    <row r="115" spans="2:4" x14ac:dyDescent="0.3">
      <c r="B115" t="str">
        <v>2026-02-05</v>
      </c>
      <c r="C115">
        <v>275.91000000000003</v>
      </c>
      <c r="D115" s="2"/>
    </row>
    <row r="116" spans="2:4" x14ac:dyDescent="0.3">
      <c r="B116" t="str">
        <v>2026-02-04</v>
      </c>
      <c r="C116">
        <v>276.49</v>
      </c>
      <c r="D116" s="2"/>
    </row>
    <row r="117" spans="2:4" x14ac:dyDescent="0.3">
      <c r="B117" t="str">
        <v>2026-02-03</v>
      </c>
      <c r="C117">
        <v>269.48</v>
      </c>
      <c r="D117" s="2"/>
    </row>
    <row r="118" spans="2:4" x14ac:dyDescent="0.3">
      <c r="B118" t="str">
        <v>2026-02-02</v>
      </c>
      <c r="C118">
        <v>270.01</v>
      </c>
      <c r="D118" s="2"/>
    </row>
    <row r="119" spans="2:4" x14ac:dyDescent="0.3">
      <c r="B119" t="str">
        <v>2026-01-30</v>
      </c>
      <c r="C119">
        <v>259.48</v>
      </c>
      <c r="D119" s="2"/>
    </row>
    <row r="120" spans="2:4" x14ac:dyDescent="0.3">
      <c r="B120" t="str">
        <v>2026-01-29</v>
      </c>
      <c r="C120">
        <v>258.27999999999997</v>
      </c>
      <c r="D120" s="2"/>
    </row>
    <row r="121" spans="2:4" x14ac:dyDescent="0.3">
      <c r="B121" t="str">
        <v>2026-01-28</v>
      </c>
      <c r="C121">
        <v>256.44</v>
      </c>
      <c r="D121" s="2"/>
    </row>
    <row r="122" spans="2:4" x14ac:dyDescent="0.3">
      <c r="B122" t="str">
        <v>2026-01-27</v>
      </c>
      <c r="C122">
        <v>258.27</v>
      </c>
      <c r="D122" s="2"/>
    </row>
    <row r="123" spans="2:4" x14ac:dyDescent="0.3">
      <c r="B123" t="str">
        <v>2026-01-26</v>
      </c>
      <c r="C123">
        <v>255.41</v>
      </c>
      <c r="D123" s="2"/>
    </row>
    <row r="124" spans="2:4" x14ac:dyDescent="0.3">
      <c r="B124" t="str">
        <v>2026-01-23</v>
      </c>
      <c r="C124">
        <v>248.04</v>
      </c>
      <c r="D124" s="2"/>
    </row>
    <row r="125" spans="2:4" x14ac:dyDescent="0.3">
      <c r="B125" t="str">
        <v>2026-01-22</v>
      </c>
      <c r="C125">
        <v>248.35</v>
      </c>
      <c r="D125" s="2"/>
    </row>
    <row r="126" spans="2:4" x14ac:dyDescent="0.3">
      <c r="B126" t="str">
        <v>2026-01-21</v>
      </c>
      <c r="C126">
        <v>247.65</v>
      </c>
      <c r="D126" s="2"/>
    </row>
    <row r="127" spans="2:4" x14ac:dyDescent="0.3">
      <c r="B127" t="str">
        <v>2026-01-20</v>
      </c>
      <c r="C127">
        <v>246.7</v>
      </c>
      <c r="D127" s="2"/>
    </row>
    <row r="128" spans="2:4" x14ac:dyDescent="0.3">
      <c r="B128" t="str">
        <v>2026-01-16</v>
      </c>
      <c r="C128">
        <v>255.53</v>
      </c>
      <c r="D128" s="2"/>
    </row>
    <row r="129" spans="2:4" x14ac:dyDescent="0.3">
      <c r="B129" t="str">
        <v>2026-01-15</v>
      </c>
      <c r="C129">
        <v>258.20999999999998</v>
      </c>
      <c r="D129" s="2"/>
    </row>
    <row r="130" spans="2:4" x14ac:dyDescent="0.3">
      <c r="B130" t="str">
        <v>2026-01-14</v>
      </c>
      <c r="C130">
        <v>259.95999999999998</v>
      </c>
      <c r="D130" s="2"/>
    </row>
    <row r="131" spans="2:4" x14ac:dyDescent="0.3">
      <c r="B131" t="str">
        <v>2026-01-13</v>
      </c>
      <c r="C131">
        <v>261.05</v>
      </c>
      <c r="D131" s="2"/>
    </row>
    <row r="132" spans="2:4" x14ac:dyDescent="0.3">
      <c r="B132" t="str">
        <v>2026-01-12</v>
      </c>
      <c r="C132">
        <v>260.25</v>
      </c>
      <c r="D132" s="2"/>
    </row>
    <row r="133" spans="2:4" x14ac:dyDescent="0.3">
      <c r="B133" t="str">
        <v>2026-01-09</v>
      </c>
      <c r="C133">
        <v>259.37</v>
      </c>
      <c r="D133" s="2"/>
    </row>
    <row r="134" spans="2:4" x14ac:dyDescent="0.3">
      <c r="B134" t="str">
        <v>2026-01-08</v>
      </c>
      <c r="C134">
        <v>259.04000000000002</v>
      </c>
      <c r="D134" s="2"/>
    </row>
    <row r="135" spans="2:4" x14ac:dyDescent="0.3">
      <c r="B135" t="str">
        <v>2026-01-07</v>
      </c>
      <c r="C135">
        <v>260.33</v>
      </c>
      <c r="D135" s="2"/>
    </row>
    <row r="136" spans="2:4" x14ac:dyDescent="0.3">
      <c r="B136" t="str">
        <v>2026-01-06</v>
      </c>
      <c r="C136">
        <v>262.36</v>
      </c>
      <c r="D136" s="2"/>
    </row>
    <row r="137" spans="2:4" x14ac:dyDescent="0.3">
      <c r="B137" t="str">
        <v>2026-01-05</v>
      </c>
      <c r="C137">
        <v>267.26</v>
      </c>
      <c r="D137" s="2"/>
    </row>
    <row r="138" spans="2:4" x14ac:dyDescent="0.3">
      <c r="B138" t="str">
        <v>2026-01-02</v>
      </c>
      <c r="C138">
        <v>271.01</v>
      </c>
      <c r="D138" s="2"/>
    </row>
    <row r="139" spans="2:4" x14ac:dyDescent="0.3">
      <c r="B139" t="str">
        <v>2025-12-31</v>
      </c>
      <c r="C139">
        <v>271.86</v>
      </c>
      <c r="D139" s="2"/>
    </row>
    <row r="140" spans="2:4" x14ac:dyDescent="0.3">
      <c r="B140" t="str">
        <v>2025-12-30</v>
      </c>
      <c r="C140">
        <v>273.08</v>
      </c>
      <c r="D140" s="2"/>
    </row>
    <row r="141" spans="2:4" x14ac:dyDescent="0.3">
      <c r="B141" t="str">
        <v>2025-12-29</v>
      </c>
      <c r="C141">
        <v>273.76</v>
      </c>
      <c r="D141" s="2"/>
    </row>
    <row r="142" spans="2:4" x14ac:dyDescent="0.3">
      <c r="B142" t="str">
        <v>2025-12-26</v>
      </c>
      <c r="C142">
        <v>273.39999999999998</v>
      </c>
      <c r="D142" s="2"/>
    </row>
    <row r="143" spans="2:4" x14ac:dyDescent="0.3">
      <c r="B143" t="str">
        <v>2025-12-24</v>
      </c>
      <c r="C143">
        <v>273.81</v>
      </c>
      <c r="D143" s="2"/>
    </row>
    <row r="144" spans="2:4" x14ac:dyDescent="0.3">
      <c r="B144" t="str">
        <v>2025-12-23</v>
      </c>
      <c r="C144">
        <v>272.36</v>
      </c>
      <c r="D144" s="2"/>
    </row>
    <row r="145" spans="2:4" x14ac:dyDescent="0.3">
      <c r="B145" t="str">
        <v>2025-12-22</v>
      </c>
      <c r="C145">
        <v>270.97000000000003</v>
      </c>
      <c r="D145" s="2"/>
    </row>
    <row r="146" spans="2:4" x14ac:dyDescent="0.3">
      <c r="B146" t="str">
        <v>2025-12-19</v>
      </c>
      <c r="C146">
        <v>273.67</v>
      </c>
      <c r="D146" s="2"/>
    </row>
    <row r="147" spans="2:4" x14ac:dyDescent="0.3">
      <c r="B147" t="str">
        <v>2025-12-18</v>
      </c>
      <c r="C147">
        <v>272.19</v>
      </c>
      <c r="D147" s="2"/>
    </row>
    <row r="148" spans="2:4" x14ac:dyDescent="0.3">
      <c r="B148" t="str">
        <v>2025-12-17</v>
      </c>
      <c r="C148">
        <v>271.83999999999997</v>
      </c>
      <c r="D148" s="2"/>
    </row>
    <row r="149" spans="2:4" x14ac:dyDescent="0.3">
      <c r="B149" t="str">
        <v>2025-12-16</v>
      </c>
      <c r="C149">
        <v>274.61</v>
      </c>
      <c r="D149" s="2"/>
    </row>
    <row r="150" spans="2:4" x14ac:dyDescent="0.3">
      <c r="B150" t="str">
        <v>2025-12-15</v>
      </c>
      <c r="C150">
        <v>274.11</v>
      </c>
      <c r="D150" s="2"/>
    </row>
    <row r="151" spans="2:4" x14ac:dyDescent="0.3">
      <c r="B151" t="str">
        <v>2025-12-12</v>
      </c>
      <c r="C151">
        <v>278.27999999999997</v>
      </c>
      <c r="D151" s="2"/>
    </row>
    <row r="152" spans="2:4" x14ac:dyDescent="0.3">
      <c r="B152" t="str">
        <v>2025-12-11</v>
      </c>
      <c r="C152">
        <v>278.02999999999997</v>
      </c>
      <c r="D152" s="2"/>
    </row>
    <row r="153" spans="2:4" x14ac:dyDescent="0.3">
      <c r="B153" t="str">
        <v>2025-12-10</v>
      </c>
      <c r="C153">
        <v>278.77999999999997</v>
      </c>
      <c r="D153" s="2"/>
    </row>
    <row r="154" spans="2:4" x14ac:dyDescent="0.3">
      <c r="B154" t="str">
        <v>2025-12-09</v>
      </c>
      <c r="C154">
        <v>277.18</v>
      </c>
      <c r="D154" s="2"/>
    </row>
    <row r="155" spans="2:4" x14ac:dyDescent="0.3">
      <c r="B155" t="str">
        <v>2025-12-08</v>
      </c>
      <c r="C155">
        <v>277.89</v>
      </c>
      <c r="D155" s="2"/>
    </row>
    <row r="156" spans="2:4" x14ac:dyDescent="0.3">
      <c r="B156" t="str">
        <v>2025-12-05</v>
      </c>
      <c r="C156">
        <v>278.77999999999997</v>
      </c>
      <c r="D156" s="2"/>
    </row>
    <row r="157" spans="2:4" x14ac:dyDescent="0.3">
      <c r="B157" t="str">
        <v>2025-12-04</v>
      </c>
      <c r="C157">
        <v>280.7</v>
      </c>
      <c r="D157" s="2"/>
    </row>
    <row r="158" spans="2:4" x14ac:dyDescent="0.3">
      <c r="B158" t="str">
        <v>2025-12-03</v>
      </c>
      <c r="C158">
        <v>284.14999999999998</v>
      </c>
      <c r="D158" s="2"/>
    </row>
    <row r="159" spans="2:4" x14ac:dyDescent="0.3">
      <c r="B159" t="str">
        <v>2025-12-02</v>
      </c>
      <c r="C159">
        <v>286.19</v>
      </c>
      <c r="D159" s="2"/>
    </row>
    <row r="160" spans="2:4" x14ac:dyDescent="0.3">
      <c r="B160" t="str">
        <v>2025-12-01</v>
      </c>
      <c r="C160">
        <v>283.10000000000002</v>
      </c>
      <c r="D160" s="2"/>
    </row>
    <row r="161" spans="2:4" x14ac:dyDescent="0.3">
      <c r="B161" t="str">
        <v>2025-11-28</v>
      </c>
      <c r="C161">
        <v>278.85000000000002</v>
      </c>
      <c r="D161" s="2"/>
    </row>
    <row r="162" spans="2:4" x14ac:dyDescent="0.3">
      <c r="B162" t="str">
        <v>2025-11-26</v>
      </c>
      <c r="C162">
        <v>277.55</v>
      </c>
      <c r="D162" s="2"/>
    </row>
    <row r="163" spans="2:4" x14ac:dyDescent="0.3">
      <c r="B163" t="str">
        <v>2025-11-25</v>
      </c>
      <c r="C163">
        <v>276.97000000000003</v>
      </c>
      <c r="D163" s="2"/>
    </row>
    <row r="164" spans="2:4" x14ac:dyDescent="0.3">
      <c r="B164" t="str">
        <v>2025-11-24</v>
      </c>
      <c r="C164">
        <v>275.92</v>
      </c>
      <c r="D164" s="2"/>
    </row>
    <row r="165" spans="2:4" x14ac:dyDescent="0.3">
      <c r="B165" t="str">
        <v>2025-11-21</v>
      </c>
      <c r="C165">
        <v>271.49</v>
      </c>
      <c r="D165" s="2"/>
    </row>
    <row r="166" spans="2:4" x14ac:dyDescent="0.3">
      <c r="B166" t="str">
        <v>2025-11-20</v>
      </c>
      <c r="C166">
        <v>266.25</v>
      </c>
      <c r="D166" s="2"/>
    </row>
    <row r="167" spans="2:4" x14ac:dyDescent="0.3">
      <c r="B167" t="str">
        <v>2025-11-19</v>
      </c>
      <c r="C167">
        <v>268.56</v>
      </c>
      <c r="D167" s="2"/>
    </row>
    <row r="168" spans="2:4" x14ac:dyDescent="0.3">
      <c r="B168" t="str">
        <v>2025-11-18</v>
      </c>
      <c r="C168">
        <v>267.44</v>
      </c>
      <c r="D168" s="2"/>
    </row>
    <row r="169" spans="2:4" x14ac:dyDescent="0.3">
      <c r="B169" t="str">
        <v>2025-11-17</v>
      </c>
      <c r="C169">
        <v>267.45999999999998</v>
      </c>
      <c r="D169" s="2"/>
    </row>
    <row r="170" spans="2:4" x14ac:dyDescent="0.3">
      <c r="B170" t="str">
        <v>2025-11-14</v>
      </c>
      <c r="C170">
        <v>272.41000000000003</v>
      </c>
      <c r="D170" s="2"/>
    </row>
    <row r="171" spans="2:4" x14ac:dyDescent="0.3">
      <c r="B171" t="str">
        <v>2025-11-13</v>
      </c>
      <c r="C171">
        <v>272.95</v>
      </c>
      <c r="D171" s="2"/>
    </row>
    <row r="172" spans="2:4" x14ac:dyDescent="0.3">
      <c r="B172" t="str">
        <v>2025-11-12</v>
      </c>
      <c r="C172">
        <v>273.47000000000003</v>
      </c>
      <c r="D172" s="2"/>
    </row>
    <row r="173" spans="2:4" x14ac:dyDescent="0.3">
      <c r="B173" t="str">
        <v>2025-11-11</v>
      </c>
      <c r="C173">
        <v>275.25</v>
      </c>
      <c r="D173" s="2"/>
    </row>
    <row r="174" spans="2:4" x14ac:dyDescent="0.3">
      <c r="B174" t="str">
        <v>2025-11-10</v>
      </c>
      <c r="C174">
        <v>269.43</v>
      </c>
      <c r="D174" s="2"/>
    </row>
    <row r="175" spans="2:4" x14ac:dyDescent="0.3">
      <c r="B175" t="str">
        <v>2025-11-07</v>
      </c>
      <c r="C175">
        <v>268.47000000000003</v>
      </c>
      <c r="D175" s="2"/>
    </row>
    <row r="176" spans="2:4" x14ac:dyDescent="0.3">
      <c r="B176" t="str">
        <v>2025-11-06</v>
      </c>
      <c r="C176">
        <v>269.77</v>
      </c>
      <c r="D176" s="2"/>
    </row>
    <row r="177" spans="2:4" x14ac:dyDescent="0.3">
      <c r="B177" t="str">
        <v>2025-11-05</v>
      </c>
      <c r="C177">
        <v>270.14</v>
      </c>
      <c r="D177" s="2"/>
    </row>
    <row r="178" spans="2:4" x14ac:dyDescent="0.3">
      <c r="B178" t="str">
        <v>2025-11-04</v>
      </c>
      <c r="C178">
        <v>270.04000000000002</v>
      </c>
      <c r="D178" s="2"/>
    </row>
    <row r="179" spans="2:4" x14ac:dyDescent="0.3">
      <c r="B179" t="str">
        <v>2025-11-03</v>
      </c>
      <c r="C179">
        <v>269.05</v>
      </c>
      <c r="D179" s="2"/>
    </row>
    <row r="180" spans="2:4" x14ac:dyDescent="0.3">
      <c r="B180" t="str">
        <v>2025-10-31</v>
      </c>
      <c r="C180">
        <v>270.37</v>
      </c>
      <c r="D180" s="2"/>
    </row>
    <row r="181" spans="2:4" x14ac:dyDescent="0.3">
      <c r="B181" t="str">
        <v>2025-10-30</v>
      </c>
      <c r="C181">
        <v>271.39999999999998</v>
      </c>
      <c r="D181" s="2"/>
    </row>
    <row r="182" spans="2:4" x14ac:dyDescent="0.3">
      <c r="B182" t="str">
        <v>2025-10-29</v>
      </c>
      <c r="C182">
        <v>269.7</v>
      </c>
      <c r="D182" s="2"/>
    </row>
    <row r="183" spans="2:4" x14ac:dyDescent="0.3">
      <c r="B183" t="str">
        <v>2025-10-28</v>
      </c>
      <c r="C183">
        <v>269</v>
      </c>
      <c r="D183" s="2"/>
    </row>
    <row r="184" spans="2:4" x14ac:dyDescent="0.3">
      <c r="B184" t="str">
        <v>2025-10-27</v>
      </c>
      <c r="C184">
        <v>268.81</v>
      </c>
      <c r="D184" s="2"/>
    </row>
    <row r="185" spans="2:4" x14ac:dyDescent="0.3">
      <c r="B185" t="str">
        <v>2025-10-24</v>
      </c>
      <c r="C185">
        <v>262.82</v>
      </c>
      <c r="D185" s="2"/>
    </row>
    <row r="186" spans="2:4" x14ac:dyDescent="0.3">
      <c r="B186" t="str">
        <v>2025-10-23</v>
      </c>
      <c r="C186">
        <v>259.58</v>
      </c>
      <c r="D186" s="2"/>
    </row>
    <row r="187" spans="2:4" x14ac:dyDescent="0.3">
      <c r="B187" t="str">
        <v>2025-10-22</v>
      </c>
      <c r="C187">
        <v>258.45</v>
      </c>
      <c r="D187" s="2"/>
    </row>
    <row r="188" spans="2:4" x14ac:dyDescent="0.3">
      <c r="B188" t="str">
        <v>2025-10-21</v>
      </c>
      <c r="C188">
        <v>262.77</v>
      </c>
      <c r="D188" s="2"/>
    </row>
    <row r="189" spans="2:4" x14ac:dyDescent="0.3">
      <c r="B189" t="str">
        <v>2025-10-20</v>
      </c>
      <c r="C189">
        <v>262.24</v>
      </c>
      <c r="D189" s="2"/>
    </row>
    <row r="190" spans="2:4" x14ac:dyDescent="0.3">
      <c r="B190" t="str">
        <v>2025-10-17</v>
      </c>
      <c r="C190">
        <v>252.29</v>
      </c>
      <c r="D190" s="2"/>
    </row>
    <row r="191" spans="2:4" x14ac:dyDescent="0.3">
      <c r="B191" t="str">
        <v>2025-10-16</v>
      </c>
      <c r="C191">
        <v>247.45</v>
      </c>
      <c r="D191" s="2"/>
    </row>
    <row r="192" spans="2:4" x14ac:dyDescent="0.3">
      <c r="B192" t="str">
        <v>2025-10-15</v>
      </c>
      <c r="C192">
        <v>249.34</v>
      </c>
      <c r="D192" s="2"/>
    </row>
    <row r="193" spans="2:4" x14ac:dyDescent="0.3">
      <c r="B193" t="str">
        <v>2025-10-14</v>
      </c>
      <c r="C193">
        <v>247.77</v>
      </c>
      <c r="D193" s="2"/>
    </row>
    <row r="194" spans="2:4" x14ac:dyDescent="0.3">
      <c r="B194" t="str">
        <v>2025-10-13</v>
      </c>
      <c r="C194">
        <v>247.66</v>
      </c>
      <c r="D194" s="2"/>
    </row>
    <row r="195" spans="2:4" x14ac:dyDescent="0.3">
      <c r="B195" t="str">
        <v>2025-10-10</v>
      </c>
      <c r="C195">
        <v>245.27</v>
      </c>
      <c r="D195" s="2"/>
    </row>
    <row r="196" spans="2:4" x14ac:dyDescent="0.3">
      <c r="B196" t="str">
        <v>2025-10-09</v>
      </c>
      <c r="C196">
        <v>254.04</v>
      </c>
      <c r="D196" s="2"/>
    </row>
    <row r="197" spans="2:4" x14ac:dyDescent="0.3">
      <c r="B197" t="str">
        <v>2025-10-08</v>
      </c>
      <c r="C197">
        <v>258.06</v>
      </c>
      <c r="D197" s="2"/>
    </row>
    <row r="198" spans="2:4" x14ac:dyDescent="0.3">
      <c r="B198" t="str">
        <v>2025-10-07</v>
      </c>
      <c r="C198">
        <v>256.48</v>
      </c>
      <c r="D198" s="2"/>
    </row>
    <row r="199" spans="2:4" x14ac:dyDescent="0.3">
      <c r="B199" t="str">
        <v>2025-10-06</v>
      </c>
      <c r="C199">
        <v>256.69</v>
      </c>
      <c r="D199" s="2"/>
    </row>
    <row r="200" spans="2:4" x14ac:dyDescent="0.3">
      <c r="B200" t="str">
        <v>2025-10-03</v>
      </c>
      <c r="C200">
        <v>258.02</v>
      </c>
      <c r="D200" s="2"/>
    </row>
    <row r="201" spans="2:4" x14ac:dyDescent="0.3">
      <c r="B201" t="str">
        <v>2025-10-02</v>
      </c>
      <c r="C201">
        <v>257.13</v>
      </c>
      <c r="D201" s="2"/>
    </row>
    <row r="202" spans="2:4" x14ac:dyDescent="0.3">
      <c r="B202" t="str">
        <v>2025-10-01</v>
      </c>
      <c r="C202">
        <v>255.45</v>
      </c>
      <c r="D202" s="2"/>
    </row>
    <row r="203" spans="2:4" x14ac:dyDescent="0.3">
      <c r="B203" t="str">
        <v>2025-09-30</v>
      </c>
      <c r="C203">
        <v>254.63</v>
      </c>
      <c r="D203" s="2"/>
    </row>
    <row r="204" spans="2:4" x14ac:dyDescent="0.3">
      <c r="B204" t="str">
        <v>2025-09-29</v>
      </c>
      <c r="C204">
        <v>254.43</v>
      </c>
      <c r="D204" s="2"/>
    </row>
    <row r="205" spans="2:4" x14ac:dyDescent="0.3">
      <c r="B205" t="str">
        <v>2025-09-26</v>
      </c>
      <c r="C205">
        <v>255.46</v>
      </c>
      <c r="D205" s="2"/>
    </row>
    <row r="206" spans="2:4" x14ac:dyDescent="0.3">
      <c r="B206" t="str">
        <v>2025-09-25</v>
      </c>
      <c r="C206">
        <v>256.87</v>
      </c>
      <c r="D206" s="2"/>
    </row>
    <row r="207" spans="2:4" x14ac:dyDescent="0.3">
      <c r="B207" t="str">
        <v>2025-09-24</v>
      </c>
      <c r="C207">
        <v>252.31</v>
      </c>
      <c r="D207" s="2"/>
    </row>
    <row r="208" spans="2:4" x14ac:dyDescent="0.3">
      <c r="B208" t="str">
        <v>2025-09-23</v>
      </c>
      <c r="C208">
        <v>254.43</v>
      </c>
      <c r="D208" s="2"/>
    </row>
    <row r="209" spans="2:4" x14ac:dyDescent="0.3">
      <c r="B209" t="str">
        <v>2025-09-22</v>
      </c>
      <c r="C209">
        <v>256.08</v>
      </c>
      <c r="D209" s="2"/>
    </row>
    <row r="210" spans="2:4" x14ac:dyDescent="0.3">
      <c r="B210" t="str">
        <v>2025-09-19</v>
      </c>
      <c r="C210">
        <v>245.5</v>
      </c>
      <c r="D210" s="2"/>
    </row>
    <row r="211" spans="2:4" x14ac:dyDescent="0.3">
      <c r="B211" t="str">
        <v>2025-09-18</v>
      </c>
      <c r="C211">
        <v>237.88</v>
      </c>
      <c r="D211" s="2"/>
    </row>
    <row r="212" spans="2:4" x14ac:dyDescent="0.3">
      <c r="B212" t="str">
        <v>2025-09-17</v>
      </c>
      <c r="C212">
        <v>238.99</v>
      </c>
      <c r="D212" s="2"/>
    </row>
    <row r="213" spans="2:4" x14ac:dyDescent="0.3">
      <c r="B213" t="str">
        <v>2025-09-16</v>
      </c>
      <c r="C213">
        <v>238.15</v>
      </c>
      <c r="D213" s="2"/>
    </row>
    <row r="214" spans="2:4" x14ac:dyDescent="0.3">
      <c r="B214" t="str">
        <v>2025-09-15</v>
      </c>
      <c r="C214">
        <v>236.7</v>
      </c>
      <c r="D214" s="2"/>
    </row>
    <row r="215" spans="2:4" x14ac:dyDescent="0.3">
      <c r="B215" t="str">
        <v>2025-09-12</v>
      </c>
      <c r="C215">
        <v>234.07</v>
      </c>
      <c r="D215" s="2"/>
    </row>
    <row r="216" spans="2:4" x14ac:dyDescent="0.3">
      <c r="B216" t="str">
        <v>2025-09-11</v>
      </c>
      <c r="C216">
        <v>230.03</v>
      </c>
      <c r="D216" s="2"/>
    </row>
    <row r="217" spans="2:4" x14ac:dyDescent="0.3">
      <c r="B217" t="str">
        <v>2025-09-10</v>
      </c>
      <c r="C217">
        <v>226.79</v>
      </c>
      <c r="D217" s="2"/>
    </row>
    <row r="218" spans="2:4" x14ac:dyDescent="0.3">
      <c r="B218" t="str">
        <v>2025-09-09</v>
      </c>
      <c r="C218">
        <v>234.35</v>
      </c>
      <c r="D218" s="2"/>
    </row>
    <row r="219" spans="2:4" x14ac:dyDescent="0.3">
      <c r="B219" t="str">
        <v>2025-09-08</v>
      </c>
      <c r="C219">
        <v>237.88</v>
      </c>
      <c r="D219" s="2"/>
    </row>
    <row r="220" spans="2:4" x14ac:dyDescent="0.3">
      <c r="B220" t="str">
        <v>2025-09-05</v>
      </c>
      <c r="C220">
        <v>239.69</v>
      </c>
      <c r="D220" s="2"/>
    </row>
    <row r="221" spans="2:4" x14ac:dyDescent="0.3">
      <c r="B221" t="str">
        <v>2025-09-04</v>
      </c>
      <c r="C221">
        <v>239.78</v>
      </c>
      <c r="D221" s="2"/>
    </row>
    <row r="222" spans="2:4" x14ac:dyDescent="0.3">
      <c r="B222" t="str">
        <v>2025-09-03</v>
      </c>
      <c r="C222">
        <v>238.47</v>
      </c>
      <c r="D222" s="2"/>
    </row>
    <row r="223" spans="2:4" x14ac:dyDescent="0.3">
      <c r="B223" t="str">
        <v>2025-09-02</v>
      </c>
      <c r="C223">
        <v>229.72</v>
      </c>
      <c r="D223" s="2"/>
    </row>
    <row r="224" spans="2:4" x14ac:dyDescent="0.3">
      <c r="B224" t="str">
        <v>2025-08-29</v>
      </c>
      <c r="C224">
        <v>232.14</v>
      </c>
      <c r="D224" s="2"/>
    </row>
    <row r="225" spans="2:4" x14ac:dyDescent="0.3">
      <c r="B225" t="str">
        <v>2025-08-28</v>
      </c>
      <c r="C225">
        <v>232.56</v>
      </c>
      <c r="D225" s="2"/>
    </row>
    <row r="226" spans="2:4" x14ac:dyDescent="0.3">
      <c r="B226" t="str">
        <v>2025-08-27</v>
      </c>
      <c r="C226">
        <v>230.49</v>
      </c>
      <c r="D226" s="2"/>
    </row>
    <row r="227" spans="2:4" x14ac:dyDescent="0.3">
      <c r="B227" t="str">
        <v>2025-08-26</v>
      </c>
      <c r="C227">
        <v>229.31</v>
      </c>
      <c r="D227" s="2"/>
    </row>
    <row r="228" spans="2:4" x14ac:dyDescent="0.3">
      <c r="B228" t="str">
        <v>2025-08-25</v>
      </c>
      <c r="C228">
        <v>227.16</v>
      </c>
      <c r="D228" s="2"/>
    </row>
    <row r="229" spans="2:4" x14ac:dyDescent="0.3">
      <c r="B229" t="str">
        <v>2025-08-22</v>
      </c>
      <c r="C229">
        <v>227.76</v>
      </c>
      <c r="D229" s="2"/>
    </row>
    <row r="230" spans="2:4" x14ac:dyDescent="0.3">
      <c r="B230" t="str">
        <v>2025-08-21</v>
      </c>
      <c r="C230">
        <v>224.9</v>
      </c>
      <c r="D230" s="2"/>
    </row>
    <row r="231" spans="2:4" x14ac:dyDescent="0.3">
      <c r="B231" t="str">
        <v>2025-08-20</v>
      </c>
      <c r="C231">
        <v>226.01</v>
      </c>
      <c r="D231" s="2"/>
    </row>
    <row r="232" spans="2:4" x14ac:dyDescent="0.3">
      <c r="B232" t="str">
        <v>2025-08-19</v>
      </c>
      <c r="C232">
        <v>230.56</v>
      </c>
      <c r="D232" s="2"/>
    </row>
    <row r="233" spans="2:4" x14ac:dyDescent="0.3">
      <c r="B233" t="str">
        <v>2025-08-18</v>
      </c>
      <c r="C233">
        <v>230.89</v>
      </c>
      <c r="D233" s="2"/>
    </row>
    <row r="234" spans="2:4" x14ac:dyDescent="0.3">
      <c r="B234" t="str">
        <v>2025-08-15</v>
      </c>
      <c r="C234">
        <v>231.59</v>
      </c>
      <c r="D234" s="2"/>
    </row>
    <row r="235" spans="2:4" x14ac:dyDescent="0.3">
      <c r="B235" t="str">
        <v>2025-08-14</v>
      </c>
      <c r="C235">
        <v>232.78</v>
      </c>
      <c r="D235" s="2"/>
    </row>
    <row r="236" spans="2:4" x14ac:dyDescent="0.3">
      <c r="B236" t="str">
        <v>2025-08-13</v>
      </c>
      <c r="C236">
        <v>233.33</v>
      </c>
      <c r="D236" s="2"/>
    </row>
    <row r="237" spans="2:4" x14ac:dyDescent="0.3">
      <c r="B237" t="str">
        <v>2025-08-12</v>
      </c>
      <c r="C237">
        <v>229.65</v>
      </c>
      <c r="D237" s="2"/>
    </row>
    <row r="238" spans="2:4" x14ac:dyDescent="0.3">
      <c r="B238" t="str">
        <v>2025-08-11</v>
      </c>
      <c r="C238">
        <v>227.18</v>
      </c>
      <c r="D238" s="2"/>
    </row>
    <row r="239" spans="2:4" x14ac:dyDescent="0.3">
      <c r="B239" t="str">
        <v>2025-08-08</v>
      </c>
      <c r="C239">
        <v>229.35</v>
      </c>
      <c r="D239" s="2"/>
    </row>
    <row r="240" spans="2:4" x14ac:dyDescent="0.3">
      <c r="B240" t="str">
        <v>2025-08-07</v>
      </c>
      <c r="C240">
        <v>220.03</v>
      </c>
      <c r="D240" s="2"/>
    </row>
    <row r="241" spans="2:4" x14ac:dyDescent="0.3">
      <c r="B241" t="str">
        <v>2025-08-06</v>
      </c>
      <c r="C241">
        <v>213.25</v>
      </c>
      <c r="D241" s="2"/>
    </row>
    <row r="242" spans="2:4" x14ac:dyDescent="0.3">
      <c r="B242" t="str">
        <v>2025-08-05</v>
      </c>
      <c r="C242">
        <v>202.92</v>
      </c>
      <c r="D242" s="2"/>
    </row>
    <row r="243" spans="2:4" x14ac:dyDescent="0.3">
      <c r="B243" t="str">
        <v>2025-08-04</v>
      </c>
      <c r="C243">
        <v>203.35</v>
      </c>
      <c r="D243" s="2"/>
    </row>
    <row r="244" spans="2:4" x14ac:dyDescent="0.3">
      <c r="B244" t="str">
        <v>2025-08-01</v>
      </c>
      <c r="C244">
        <v>202.38</v>
      </c>
      <c r="D244" s="2"/>
    </row>
    <row r="245" spans="2:4" x14ac:dyDescent="0.3">
      <c r="B245" t="str">
        <v>2025-07-31</v>
      </c>
      <c r="C245">
        <v>207.57</v>
      </c>
      <c r="D245" s="2"/>
    </row>
    <row r="246" spans="2:4" x14ac:dyDescent="0.3">
      <c r="B246" t="str">
        <v>2025-07-30</v>
      </c>
      <c r="C246">
        <v>209.05</v>
      </c>
      <c r="D246" s="2"/>
    </row>
    <row r="247" spans="2:4" x14ac:dyDescent="0.3">
      <c r="B247" t="str">
        <v>2025-07-29</v>
      </c>
      <c r="C247">
        <v>211.27</v>
      </c>
      <c r="D247" s="2"/>
    </row>
    <row r="248" spans="2:4" x14ac:dyDescent="0.3">
      <c r="B248" t="str">
        <v>2025-07-28</v>
      </c>
      <c r="C248">
        <v>214.05</v>
      </c>
      <c r="D248" s="2"/>
    </row>
    <row r="249" spans="2:4" x14ac:dyDescent="0.3">
      <c r="B249" t="str">
        <v>2025-07-25</v>
      </c>
      <c r="C249">
        <v>213.88</v>
      </c>
      <c r="D249" s="2"/>
    </row>
    <row r="250" spans="2:4" x14ac:dyDescent="0.3">
      <c r="B250" t="str">
        <v>2025-07-24</v>
      </c>
      <c r="C250">
        <v>213.76</v>
      </c>
      <c r="D250" s="2"/>
    </row>
    <row r="251" spans="2:4" x14ac:dyDescent="0.3">
      <c r="B251" t="str">
        <v>2025-07-23</v>
      </c>
      <c r="C251">
        <v>214.15</v>
      </c>
      <c r="D251" s="2"/>
    </row>
    <row r="252" spans="2:4" x14ac:dyDescent="0.3">
      <c r="B252" t="str">
        <v>2025-07-22</v>
      </c>
      <c r="C252">
        <v>214.4</v>
      </c>
      <c r="D252" s="2"/>
    </row>
    <row r="253" spans="2:4" x14ac:dyDescent="0.3">
      <c r="B253" t="str">
        <v>2025-07-21</v>
      </c>
      <c r="C253">
        <v>212.48</v>
      </c>
      <c r="D253" s="2"/>
    </row>
    <row r="254" spans="2:4" x14ac:dyDescent="0.3">
      <c r="B254" t="str">
        <v>2025-07-18</v>
      </c>
      <c r="C254">
        <v>211.18</v>
      </c>
      <c r="D254" s="2"/>
    </row>
    <row r="255" spans="2:4" x14ac:dyDescent="0.3">
      <c r="B255" t="str">
        <v>2025-07-17</v>
      </c>
      <c r="C255">
        <v>210.02</v>
      </c>
      <c r="D255" s="2"/>
    </row>
    <row r="256" spans="2:4" x14ac:dyDescent="0.3">
      <c r="B256" t="str">
        <v>2025-07-16</v>
      </c>
      <c r="C256">
        <v>210.16</v>
      </c>
      <c r="D256" s="2"/>
    </row>
    <row r="257" spans="2:4" x14ac:dyDescent="0.3">
      <c r="B257" t="str">
        <v>2025-07-15</v>
      </c>
      <c r="C257">
        <v>209.11</v>
      </c>
      <c r="D257" s="2"/>
    </row>
    <row r="258" spans="2:4" x14ac:dyDescent="0.3">
      <c r="B258" t="str">
        <v>2025-07-14</v>
      </c>
      <c r="C258">
        <v>208.62</v>
      </c>
      <c r="D258" s="2"/>
    </row>
    <row r="259" spans="2:4" x14ac:dyDescent="0.3">
      <c r="B259" t="str">
        <v>2025-07-11</v>
      </c>
      <c r="C259">
        <v>211.16</v>
      </c>
      <c r="D259" s="2"/>
    </row>
    <row r="260" spans="2:4" x14ac:dyDescent="0.3">
      <c r="B260" t="str">
        <v>2025-07-10</v>
      </c>
      <c r="C260">
        <v>212.41</v>
      </c>
      <c r="D260" s="2"/>
    </row>
    <row r="261" spans="2:4" x14ac:dyDescent="0.3">
      <c r="B261" t="str">
        <v>2025-07-09</v>
      </c>
      <c r="C261">
        <v>211.14</v>
      </c>
      <c r="D261" s="2"/>
    </row>
    <row r="262" spans="2:4" x14ac:dyDescent="0.3">
      <c r="B262" t="str">
        <v>2025-07-08</v>
      </c>
      <c r="C262">
        <v>210.01</v>
      </c>
      <c r="D262" s="2"/>
    </row>
    <row r="263" spans="2:4" x14ac:dyDescent="0.3">
      <c r="B263" t="str">
        <v>2025-07-07</v>
      </c>
      <c r="C263">
        <v>209.95</v>
      </c>
      <c r="D263" s="2"/>
    </row>
    <row r="264" spans="2:4" x14ac:dyDescent="0.3">
      <c r="B264" t="str">
        <v>2025-07-03</v>
      </c>
      <c r="C264">
        <v>213.55</v>
      </c>
      <c r="D264" s="2"/>
    </row>
    <row r="265" spans="2:4" x14ac:dyDescent="0.3">
      <c r="B265" t="str">
        <v>2025-07-02</v>
      </c>
      <c r="C265">
        <v>212.44</v>
      </c>
      <c r="D265" s="2"/>
    </row>
    <row r="266" spans="2:4" x14ac:dyDescent="0.3">
      <c r="B266" t="str">
        <v>2025-07-01</v>
      </c>
      <c r="C266">
        <v>207.82</v>
      </c>
      <c r="D266" s="2"/>
    </row>
    <row r="267" spans="2:4" x14ac:dyDescent="0.3">
      <c r="B267" t="str">
        <v>2025-06-30</v>
      </c>
      <c r="C267">
        <v>205.17</v>
      </c>
      <c r="D267" s="2"/>
    </row>
    <row r="268" spans="2:4" x14ac:dyDescent="0.3">
      <c r="B268" t="str">
        <v>2025-06-27</v>
      </c>
      <c r="C268">
        <v>201.08</v>
      </c>
      <c r="D268" s="2"/>
    </row>
    <row r="269" spans="2:4" x14ac:dyDescent="0.3">
      <c r="B269" t="str">
        <v>2025-06-26</v>
      </c>
      <c r="C269">
        <v>201</v>
      </c>
      <c r="D269" s="2"/>
    </row>
    <row r="270" spans="2:4" x14ac:dyDescent="0.3">
      <c r="B270" t="str">
        <v>2025-06-25</v>
      </c>
      <c r="C270">
        <v>201.56</v>
      </c>
      <c r="D270" s="2"/>
    </row>
    <row r="271" spans="2:4" x14ac:dyDescent="0.3">
      <c r="B271" t="str">
        <v>2025-06-24</v>
      </c>
      <c r="C271">
        <v>200.3</v>
      </c>
      <c r="D271" s="2"/>
    </row>
    <row r="272" spans="2:4" x14ac:dyDescent="0.3">
      <c r="B272" t="str">
        <v>2025-06-23</v>
      </c>
      <c r="C272">
        <v>201.5</v>
      </c>
      <c r="D272" s="2"/>
    </row>
    <row r="273" spans="2:4" x14ac:dyDescent="0.3">
      <c r="B273" t="str">
        <v>2025-06-20</v>
      </c>
      <c r="C273">
        <v>201</v>
      </c>
      <c r="D273" s="2"/>
    </row>
    <row r="274" spans="2:4" x14ac:dyDescent="0.3">
      <c r="B274" t="str">
        <v>2025-06-18</v>
      </c>
      <c r="C274">
        <v>196.58</v>
      </c>
      <c r="D274" s="2"/>
    </row>
    <row r="275" spans="2:4" x14ac:dyDescent="0.3">
      <c r="B275" t="str">
        <v>2025-06-17</v>
      </c>
      <c r="C275">
        <v>195.64</v>
      </c>
      <c r="D275" s="2"/>
    </row>
    <row r="276" spans="2:4" x14ac:dyDescent="0.3">
      <c r="B276" t="str">
        <v>2025-06-16</v>
      </c>
      <c r="C276">
        <v>198.42</v>
      </c>
      <c r="D276" s="2"/>
    </row>
    <row r="277" spans="2:4" x14ac:dyDescent="0.3">
      <c r="B277" t="str">
        <v>2025-06-13</v>
      </c>
      <c r="C277">
        <v>196.45</v>
      </c>
      <c r="D277" s="2"/>
    </row>
    <row r="278" spans="2:4" x14ac:dyDescent="0.3">
      <c r="B278" t="str">
        <v>2025-06-12</v>
      </c>
      <c r="C278">
        <v>199.2</v>
      </c>
      <c r="D278" s="2"/>
    </row>
    <row r="279" spans="2:4" x14ac:dyDescent="0.3">
      <c r="B279" t="str">
        <v>2025-06-11</v>
      </c>
      <c r="C279">
        <v>198.78</v>
      </c>
      <c r="D279" s="2"/>
    </row>
    <row r="280" spans="2:4" x14ac:dyDescent="0.3">
      <c r="B280" t="str">
        <v>2025-06-10</v>
      </c>
      <c r="C280">
        <v>202.67</v>
      </c>
      <c r="D280" s="2"/>
    </row>
    <row r="281" spans="2:4" x14ac:dyDescent="0.3">
      <c r="B281" t="str">
        <v>2025-06-09</v>
      </c>
      <c r="C281">
        <v>201.45</v>
      </c>
      <c r="D281" s="2"/>
    </row>
    <row r="282" spans="2:4" x14ac:dyDescent="0.3">
      <c r="B282" t="str">
        <v>2025-06-06</v>
      </c>
      <c r="C282">
        <v>203.92</v>
      </c>
      <c r="D282" s="2"/>
    </row>
    <row r="283" spans="2:4" x14ac:dyDescent="0.3">
      <c r="B283" t="str">
        <v>2025-06-05</v>
      </c>
      <c r="C283">
        <v>200.63</v>
      </c>
      <c r="D283" s="2"/>
    </row>
    <row r="284" spans="2:4" x14ac:dyDescent="0.3">
      <c r="B284" t="str">
        <v>2025-06-04</v>
      </c>
      <c r="C284">
        <v>202.82</v>
      </c>
      <c r="D284" s="2"/>
    </row>
    <row r="285" spans="2:4" x14ac:dyDescent="0.3">
      <c r="B285" t="str">
        <v>2025-06-03</v>
      </c>
      <c r="C285">
        <v>203.27</v>
      </c>
      <c r="D285" s="2"/>
    </row>
    <row r="286" spans="2:4" x14ac:dyDescent="0.3">
      <c r="B286" t="str">
        <v>2025-06-02</v>
      </c>
      <c r="C286">
        <v>201.7</v>
      </c>
      <c r="D286" s="2"/>
    </row>
    <row r="287" spans="2:4" x14ac:dyDescent="0.3">
      <c r="B287" t="str">
        <v>2025-05-30</v>
      </c>
      <c r="C287">
        <v>200.85</v>
      </c>
      <c r="D287" s="2"/>
    </row>
    <row r="288" spans="2:4" x14ac:dyDescent="0.3">
      <c r="B288" t="str">
        <v>2025-05-29</v>
      </c>
      <c r="C288">
        <v>199.95</v>
      </c>
      <c r="D288" s="2"/>
    </row>
    <row r="289" spans="2:4" x14ac:dyDescent="0.3">
      <c r="B289" t="str">
        <v>2025-05-28</v>
      </c>
      <c r="C289">
        <v>200.42</v>
      </c>
      <c r="D289" s="2"/>
    </row>
    <row r="290" spans="2:4" x14ac:dyDescent="0.3">
      <c r="B290" t="str">
        <v>2025-05-27</v>
      </c>
      <c r="C290">
        <v>200.21</v>
      </c>
      <c r="D290" s="2"/>
    </row>
    <row r="291" spans="2:4" x14ac:dyDescent="0.3">
      <c r="B291" t="str">
        <v>2025-05-23</v>
      </c>
      <c r="C291">
        <v>195.27</v>
      </c>
      <c r="D291" s="2"/>
    </row>
    <row r="292" spans="2:4" x14ac:dyDescent="0.3">
      <c r="B292" t="str">
        <v>2025-05-22</v>
      </c>
      <c r="C292">
        <v>201.36</v>
      </c>
      <c r="D292" s="2"/>
    </row>
    <row r="293" spans="2:4" x14ac:dyDescent="0.3">
      <c r="B293" t="str">
        <v>2025-05-21</v>
      </c>
      <c r="C293">
        <v>202.09</v>
      </c>
      <c r="D293" s="2"/>
    </row>
    <row r="294" spans="2:4" x14ac:dyDescent="0.3">
      <c r="B294" t="str">
        <v>2025-05-20</v>
      </c>
      <c r="C294">
        <v>206.86</v>
      </c>
      <c r="D294" s="2"/>
    </row>
    <row r="295" spans="2:4" x14ac:dyDescent="0.3">
      <c r="B295" t="str">
        <v>2025-05-19</v>
      </c>
      <c r="C295">
        <v>208.78</v>
      </c>
      <c r="D295" s="2"/>
    </row>
    <row r="296" spans="2:4" x14ac:dyDescent="0.3">
      <c r="B296" t="str">
        <v>2025-05-16</v>
      </c>
      <c r="C296">
        <v>211.26</v>
      </c>
      <c r="D296" s="2"/>
    </row>
    <row r="297" spans="2:4" x14ac:dyDescent="0.3">
      <c r="B297" t="str">
        <v>2025-05-15</v>
      </c>
      <c r="C297">
        <v>211.45</v>
      </c>
      <c r="D297" s="2"/>
    </row>
    <row r="298" spans="2:4" x14ac:dyDescent="0.3">
      <c r="B298" t="str">
        <v>2025-05-14</v>
      </c>
      <c r="C298">
        <v>212.33</v>
      </c>
      <c r="D298" s="2"/>
    </row>
    <row r="299" spans="2:4" x14ac:dyDescent="0.3">
      <c r="B299" t="str">
        <v>2025-05-13</v>
      </c>
      <c r="C299">
        <v>212.93</v>
      </c>
      <c r="D299" s="2"/>
    </row>
    <row r="300" spans="2:4" x14ac:dyDescent="0.3">
      <c r="B300" t="str">
        <v>2025-05-12</v>
      </c>
      <c r="C300">
        <v>210.79</v>
      </c>
      <c r="D300" s="2"/>
    </row>
    <row r="301" spans="2:4" x14ac:dyDescent="0.3">
      <c r="B301" t="str">
        <v>2025-05-09</v>
      </c>
      <c r="C301">
        <v>198.53</v>
      </c>
      <c r="D301" s="2"/>
    </row>
    <row r="302" spans="2:4" x14ac:dyDescent="0.3">
      <c r="B302" t="str">
        <v>2025-05-08</v>
      </c>
      <c r="C302">
        <v>197.49</v>
      </c>
      <c r="D302" s="2"/>
    </row>
    <row r="303" spans="2:4" x14ac:dyDescent="0.3">
      <c r="B303" t="str">
        <v>2025-05-07</v>
      </c>
      <c r="C303">
        <v>196.25</v>
      </c>
      <c r="D303" s="2"/>
    </row>
    <row r="304" spans="2:4" x14ac:dyDescent="0.3">
      <c r="B304" t="str">
        <v>2025-05-06</v>
      </c>
      <c r="C304">
        <v>198.51</v>
      </c>
      <c r="D304" s="2"/>
    </row>
    <row r="305" spans="2:4" x14ac:dyDescent="0.3">
      <c r="B305" t="str">
        <v>2025-05-05</v>
      </c>
      <c r="C305">
        <v>198.89</v>
      </c>
      <c r="D305" s="2"/>
    </row>
    <row r="306" spans="2:4" x14ac:dyDescent="0.3">
      <c r="B306" t="str">
        <v>2025-05-02</v>
      </c>
      <c r="C306">
        <v>205.35</v>
      </c>
      <c r="D306" s="2"/>
    </row>
    <row r="307" spans="2:4" x14ac:dyDescent="0.3">
      <c r="B307" t="str">
        <v>2025-05-01</v>
      </c>
      <c r="C307">
        <v>213.32</v>
      </c>
      <c r="D307" s="2"/>
    </row>
    <row r="308" spans="2:4" x14ac:dyDescent="0.3">
      <c r="B308" t="str">
        <v>2025-04-30</v>
      </c>
      <c r="C308">
        <v>212.5</v>
      </c>
      <c r="D308" s="2"/>
    </row>
    <row r="309" spans="2:4" x14ac:dyDescent="0.3">
      <c r="B309" t="str">
        <v>2025-04-29</v>
      </c>
      <c r="C309">
        <v>211.21</v>
      </c>
      <c r="D309" s="2"/>
    </row>
    <row r="310" spans="2:4" x14ac:dyDescent="0.3">
      <c r="B310" t="str">
        <v>2025-04-28</v>
      </c>
      <c r="C310">
        <v>210.14</v>
      </c>
      <c r="D310" s="2"/>
    </row>
    <row r="311" spans="2:4" x14ac:dyDescent="0.3">
      <c r="B311" t="str">
        <v>2025-04-25</v>
      </c>
      <c r="C311">
        <v>209.28</v>
      </c>
      <c r="D311" s="2"/>
    </row>
    <row r="312" spans="2:4" x14ac:dyDescent="0.3">
      <c r="B312" t="str">
        <v>2025-04-24</v>
      </c>
      <c r="C312">
        <v>208.37</v>
      </c>
      <c r="D312" s="2"/>
    </row>
    <row r="313" spans="2:4" x14ac:dyDescent="0.3">
      <c r="B313" t="str">
        <v>2025-04-23</v>
      </c>
      <c r="C313">
        <v>204.6</v>
      </c>
      <c r="D313" s="2"/>
    </row>
    <row r="314" spans="2:4" x14ac:dyDescent="0.3">
      <c r="B314" t="str">
        <v>2025-04-22</v>
      </c>
      <c r="C314">
        <v>199.74</v>
      </c>
      <c r="D314" s="2"/>
    </row>
    <row r="315" spans="2:4" x14ac:dyDescent="0.3">
      <c r="B315" t="str">
        <v>2025-04-21</v>
      </c>
      <c r="C315">
        <v>193.16</v>
      </c>
      <c r="D315" s="2"/>
    </row>
    <row r="316" spans="2:4" x14ac:dyDescent="0.3">
      <c r="B316" t="str">
        <v>2025-04-17</v>
      </c>
      <c r="C316">
        <v>196.98</v>
      </c>
      <c r="D316" s="2"/>
    </row>
    <row r="317" spans="2:4" x14ac:dyDescent="0.3">
      <c r="B317" t="str">
        <v>2025-04-16</v>
      </c>
      <c r="C317">
        <v>194.27</v>
      </c>
      <c r="D317" s="2"/>
    </row>
    <row r="318" spans="2:4" x14ac:dyDescent="0.3">
      <c r="B318" t="str">
        <v>2025-04-15</v>
      </c>
      <c r="C318">
        <v>202.14</v>
      </c>
      <c r="D318" s="2"/>
    </row>
    <row r="319" spans="2:4" x14ac:dyDescent="0.3">
      <c r="B319" t="str">
        <v>2025-04-14</v>
      </c>
      <c r="C319">
        <v>202.52</v>
      </c>
      <c r="D319" s="2"/>
    </row>
    <row r="320" spans="2:4" x14ac:dyDescent="0.3">
      <c r="B320" t="str">
        <v>2025-04-11</v>
      </c>
      <c r="C320">
        <v>198.15</v>
      </c>
      <c r="D320" s="2"/>
    </row>
    <row r="321" spans="2:4" x14ac:dyDescent="0.3">
      <c r="B321" t="str">
        <v>2025-04-10</v>
      </c>
      <c r="C321">
        <v>190.42</v>
      </c>
      <c r="D321" s="2"/>
    </row>
    <row r="322" spans="2:4" x14ac:dyDescent="0.3">
      <c r="B322" t="str">
        <v>2025-04-09</v>
      </c>
      <c r="C322">
        <v>198.85</v>
      </c>
      <c r="D322" s="2"/>
    </row>
    <row r="323" spans="2:4" x14ac:dyDescent="0.3">
      <c r="B323" t="str">
        <v>2025-04-08</v>
      </c>
      <c r="C323">
        <v>172.42</v>
      </c>
      <c r="D323" s="2"/>
    </row>
    <row r="324" spans="2:4" x14ac:dyDescent="0.3">
      <c r="B324" t="str">
        <v>2025-04-07</v>
      </c>
      <c r="C324">
        <v>181.46</v>
      </c>
      <c r="D324" s="2"/>
    </row>
    <row r="325" spans="2:4" x14ac:dyDescent="0.3">
      <c r="B325" t="str">
        <v>2025-04-04</v>
      </c>
      <c r="C325">
        <v>188.38</v>
      </c>
      <c r="D325" s="2"/>
    </row>
    <row r="326" spans="2:4" x14ac:dyDescent="0.3">
      <c r="B326" t="str">
        <v>2025-04-03</v>
      </c>
      <c r="C326">
        <v>203.19</v>
      </c>
      <c r="D326" s="2"/>
    </row>
    <row r="327" spans="2:4" x14ac:dyDescent="0.3">
      <c r="B327" t="str">
        <v>2025-04-02</v>
      </c>
      <c r="C327">
        <v>223.89</v>
      </c>
      <c r="D327" s="2"/>
    </row>
    <row r="328" spans="2:4" x14ac:dyDescent="0.3">
      <c r="B328" t="str">
        <v>2025-04-01</v>
      </c>
      <c r="C328">
        <v>223.19</v>
      </c>
      <c r="D328" s="2"/>
    </row>
    <row r="329" spans="2:4" x14ac:dyDescent="0.3">
      <c r="B329" t="str">
        <v>2025-03-31</v>
      </c>
      <c r="C329">
        <v>222.13</v>
      </c>
      <c r="D329" s="2"/>
    </row>
    <row r="330" spans="2:4" x14ac:dyDescent="0.3">
      <c r="B330" t="str">
        <v>2025-03-28</v>
      </c>
      <c r="C330">
        <v>217.9</v>
      </c>
      <c r="D330" s="2"/>
    </row>
    <row r="331" spans="2:4" x14ac:dyDescent="0.3">
      <c r="B331" t="str">
        <v>2025-03-27</v>
      </c>
      <c r="C331">
        <v>223.85</v>
      </c>
      <c r="D331" s="2"/>
    </row>
    <row r="332" spans="2:4" x14ac:dyDescent="0.3">
      <c r="B332" t="str">
        <v>2025-03-26</v>
      </c>
      <c r="C332">
        <v>221.53</v>
      </c>
      <c r="D332" s="2"/>
    </row>
    <row r="333" spans="2:4" x14ac:dyDescent="0.3">
      <c r="B333" t="str">
        <v>2025-03-25</v>
      </c>
      <c r="C333">
        <v>223.75</v>
      </c>
      <c r="D333" s="2"/>
    </row>
    <row r="334" spans="2:4" x14ac:dyDescent="0.3">
      <c r="B334" t="str">
        <v>2025-03-24</v>
      </c>
      <c r="C334">
        <v>220.73</v>
      </c>
      <c r="D334" s="2"/>
    </row>
    <row r="335" spans="2:4" x14ac:dyDescent="0.3">
      <c r="B335" t="str">
        <v>2025-03-21</v>
      </c>
      <c r="C335">
        <v>218.27</v>
      </c>
      <c r="D335" s="2"/>
    </row>
    <row r="336" spans="2:4" x14ac:dyDescent="0.3">
      <c r="B336" t="str">
        <v>2025-03-20</v>
      </c>
      <c r="C336">
        <v>214.1</v>
      </c>
      <c r="D336" s="2"/>
    </row>
    <row r="337" spans="2:4" x14ac:dyDescent="0.3">
      <c r="B337" t="str">
        <v>2025-03-19</v>
      </c>
      <c r="C337">
        <v>215.24</v>
      </c>
      <c r="D337" s="2"/>
    </row>
    <row r="338" spans="2:4" x14ac:dyDescent="0.3">
      <c r="B338" t="str">
        <v>2025-03-18</v>
      </c>
      <c r="C338">
        <v>212.69</v>
      </c>
      <c r="D338" s="2"/>
    </row>
    <row r="339" spans="2:4" x14ac:dyDescent="0.3">
      <c r="B339" t="str">
        <v>2025-03-17</v>
      </c>
      <c r="C339">
        <v>214</v>
      </c>
      <c r="D339" s="2"/>
    </row>
    <row r="340" spans="2:4" x14ac:dyDescent="0.3">
      <c r="B340" t="str">
        <v>2025-03-14</v>
      </c>
      <c r="C340">
        <v>213.49</v>
      </c>
      <c r="D340" s="2"/>
    </row>
    <row r="341" spans="2:4" x14ac:dyDescent="0.3">
      <c r="B341" t="str">
        <v>2025-03-13</v>
      </c>
      <c r="C341">
        <v>209.68</v>
      </c>
      <c r="D341" s="2"/>
    </row>
    <row r="342" spans="2:4" x14ac:dyDescent="0.3">
      <c r="B342" t="str">
        <v>2025-03-12</v>
      </c>
      <c r="C342">
        <v>216.98</v>
      </c>
      <c r="D342" s="2"/>
    </row>
    <row r="343" spans="2:4" x14ac:dyDescent="0.3">
      <c r="B343" t="str">
        <v>2025-03-11</v>
      </c>
      <c r="C343">
        <v>220.84</v>
      </c>
      <c r="D343" s="2"/>
    </row>
    <row r="344" spans="2:4" x14ac:dyDescent="0.3">
      <c r="B344" t="str">
        <v>2025-03-10</v>
      </c>
      <c r="C344">
        <v>227.48</v>
      </c>
      <c r="D344" s="2"/>
    </row>
    <row r="345" spans="2:4" x14ac:dyDescent="0.3">
      <c r="B345" t="str">
        <v>2025-03-07</v>
      </c>
      <c r="C345">
        <v>239.07</v>
      </c>
      <c r="D345" s="2"/>
    </row>
    <row r="346" spans="2:4" x14ac:dyDescent="0.3">
      <c r="B346" t="str">
        <v>2025-03-06</v>
      </c>
      <c r="C346">
        <v>235.33</v>
      </c>
      <c r="D346" s="2"/>
    </row>
    <row r="347" spans="2:4" x14ac:dyDescent="0.3">
      <c r="B347" t="str">
        <v>2025-03-05</v>
      </c>
      <c r="C347">
        <v>235.74</v>
      </c>
      <c r="D347" s="2"/>
    </row>
    <row r="348" spans="2:4" x14ac:dyDescent="0.3">
      <c r="B348" t="str">
        <v>2025-03-04</v>
      </c>
      <c r="C348">
        <v>235.93</v>
      </c>
      <c r="D348" s="2"/>
    </row>
    <row r="349" spans="2:4" x14ac:dyDescent="0.3">
      <c r="B349" t="str">
        <v>2025-03-03</v>
      </c>
      <c r="C349">
        <v>238.03</v>
      </c>
      <c r="D349" s="2"/>
    </row>
    <row r="350" spans="2:4" x14ac:dyDescent="0.3">
      <c r="B350" t="str">
        <v>2025-02-28</v>
      </c>
      <c r="C350">
        <v>241.84</v>
      </c>
      <c r="D350" s="2"/>
    </row>
    <row r="351" spans="2:4" x14ac:dyDescent="0.3">
      <c r="B351" t="str">
        <v>2025-02-27</v>
      </c>
      <c r="C351">
        <v>237.3</v>
      </c>
      <c r="D351" s="2"/>
    </row>
    <row r="352" spans="2:4" x14ac:dyDescent="0.3">
      <c r="B352" t="str">
        <v>2025-02-26</v>
      </c>
      <c r="C352">
        <v>240.36</v>
      </c>
      <c r="D352" s="2"/>
    </row>
    <row r="353" spans="2:4" x14ac:dyDescent="0.3">
      <c r="B353" t="str">
        <v>2025-02-25</v>
      </c>
      <c r="C353">
        <v>247.04</v>
      </c>
      <c r="D353" s="2"/>
    </row>
    <row r="354" spans="2:4" x14ac:dyDescent="0.3">
      <c r="B354" t="str">
        <v>2025-02-24</v>
      </c>
      <c r="C354">
        <v>247.1</v>
      </c>
      <c r="D354" s="2"/>
    </row>
    <row r="355" spans="2:4" x14ac:dyDescent="0.3">
      <c r="B355" t="str">
        <v>2025-02-21</v>
      </c>
      <c r="C355">
        <v>245.55</v>
      </c>
      <c r="D355" s="2"/>
    </row>
    <row r="356" spans="2:4" x14ac:dyDescent="0.3">
      <c r="B356" t="str">
        <v>2025-02-20</v>
      </c>
      <c r="C356">
        <v>245.83</v>
      </c>
      <c r="D356" s="2"/>
    </row>
    <row r="357" spans="2:4" x14ac:dyDescent="0.3">
      <c r="B357" t="str">
        <v>2025-02-19</v>
      </c>
      <c r="C357">
        <v>244.87</v>
      </c>
      <c r="D357" s="2"/>
    </row>
    <row r="358" spans="2:4" x14ac:dyDescent="0.3">
      <c r="B358" t="str">
        <v>2025-02-18</v>
      </c>
      <c r="C358">
        <v>244.47</v>
      </c>
      <c r="D358" s="2"/>
    </row>
    <row r="359" spans="2:4" x14ac:dyDescent="0.3">
      <c r="B359" t="str">
        <v>2025-02-14</v>
      </c>
      <c r="C359">
        <v>244.6</v>
      </c>
      <c r="D359" s="2"/>
    </row>
    <row r="360" spans="2:4" x14ac:dyDescent="0.3">
      <c r="B360" t="str">
        <v>2025-02-13</v>
      </c>
      <c r="C360">
        <v>241.53</v>
      </c>
      <c r="D360" s="2"/>
    </row>
    <row r="361" spans="2:4" x14ac:dyDescent="0.3">
      <c r="B361" t="str">
        <v>2025-02-12</v>
      </c>
      <c r="C361">
        <v>236.87</v>
      </c>
      <c r="D361" s="2"/>
    </row>
    <row r="362" spans="2:4" x14ac:dyDescent="0.3">
      <c r="B362" t="str">
        <v>2025-02-11</v>
      </c>
      <c r="C362">
        <v>232.62</v>
      </c>
      <c r="D362" s="2"/>
    </row>
    <row r="363" spans="2:4" x14ac:dyDescent="0.3">
      <c r="B363" t="str">
        <v>2025-02-10</v>
      </c>
      <c r="C363">
        <v>227.65</v>
      </c>
      <c r="D363" s="2"/>
    </row>
    <row r="364" spans="2:4" x14ac:dyDescent="0.3">
      <c r="B364" t="str">
        <v>2025-02-07</v>
      </c>
      <c r="C364">
        <v>227.63</v>
      </c>
      <c r="D364" s="2"/>
    </row>
    <row r="365" spans="2:4" x14ac:dyDescent="0.3">
      <c r="B365" t="str">
        <v>2025-02-06</v>
      </c>
      <c r="C365">
        <v>233.22</v>
      </c>
      <c r="D365" s="2"/>
    </row>
    <row r="366" spans="2:4" x14ac:dyDescent="0.3">
      <c r="B366" t="str">
        <v>2025-02-05</v>
      </c>
      <c r="C366">
        <v>232.47</v>
      </c>
      <c r="D366" s="2"/>
    </row>
    <row r="367" spans="2:4" x14ac:dyDescent="0.3">
      <c r="B367" t="str">
        <v>2025-02-04</v>
      </c>
      <c r="C367">
        <v>232.8</v>
      </c>
      <c r="D367" s="2"/>
    </row>
    <row r="368" spans="2:4" x14ac:dyDescent="0.3">
      <c r="B368" t="str">
        <v>2025-02-03</v>
      </c>
      <c r="C368">
        <v>228.01</v>
      </c>
      <c r="D368" s="2"/>
    </row>
    <row r="369" spans="2:4" x14ac:dyDescent="0.3">
      <c r="B369" t="str">
        <v>2025-01-31</v>
      </c>
      <c r="C369">
        <v>236</v>
      </c>
      <c r="D369" s="2"/>
    </row>
    <row r="370" spans="2:4" x14ac:dyDescent="0.3">
      <c r="B370" t="str">
        <v>2025-01-30</v>
      </c>
      <c r="C370">
        <v>237.59</v>
      </c>
      <c r="D370" s="2"/>
    </row>
    <row r="371" spans="2:4" x14ac:dyDescent="0.3">
      <c r="B371" t="str">
        <v>2025-01-29</v>
      </c>
      <c r="C371">
        <v>239.36</v>
      </c>
      <c r="D371" s="2"/>
    </row>
    <row r="372" spans="2:4" x14ac:dyDescent="0.3">
      <c r="B372" t="str">
        <v>2025-01-28</v>
      </c>
      <c r="C372">
        <v>238.26</v>
      </c>
      <c r="D372" s="2"/>
    </row>
    <row r="373" spans="2:4" x14ac:dyDescent="0.3">
      <c r="B373" t="str">
        <v>2025-01-27</v>
      </c>
      <c r="C373">
        <v>229.86</v>
      </c>
      <c r="D373" s="2"/>
    </row>
    <row r="374" spans="2:4" x14ac:dyDescent="0.3">
      <c r="B374" t="str">
        <v>2025-01-24</v>
      </c>
      <c r="C374">
        <v>222.78</v>
      </c>
      <c r="D374" s="2"/>
    </row>
    <row r="375" spans="2:4" x14ac:dyDescent="0.3">
      <c r="B375" t="str">
        <v>2025-01-23</v>
      </c>
      <c r="C375">
        <v>223.66</v>
      </c>
      <c r="D375" s="2"/>
    </row>
    <row r="376" spans="2:4" x14ac:dyDescent="0.3">
      <c r="B376" t="str">
        <v>2025-01-22</v>
      </c>
      <c r="C376">
        <v>223.83</v>
      </c>
      <c r="D376" s="2"/>
    </row>
    <row r="377" spans="2:4" x14ac:dyDescent="0.3">
      <c r="B377" t="str">
        <v>2025-01-21</v>
      </c>
      <c r="C377">
        <v>222.64</v>
      </c>
      <c r="D377" s="2"/>
    </row>
    <row r="378" spans="2:4" x14ac:dyDescent="0.3">
      <c r="B378" t="str">
        <v>2025-01-17</v>
      </c>
      <c r="C378">
        <v>229.98</v>
      </c>
      <c r="D378" s="2"/>
    </row>
    <row r="379" spans="2:4" x14ac:dyDescent="0.3">
      <c r="B379" t="str">
        <v>2025-01-16</v>
      </c>
      <c r="C379">
        <v>228.26</v>
      </c>
      <c r="D379" s="2"/>
    </row>
    <row r="380" spans="2:4" x14ac:dyDescent="0.3">
      <c r="B380" t="str">
        <v>2025-01-15</v>
      </c>
      <c r="C380">
        <v>237.87</v>
      </c>
      <c r="D380" s="2"/>
    </row>
    <row r="381" spans="2:4" x14ac:dyDescent="0.3">
      <c r="B381" t="str">
        <v>2025-01-14</v>
      </c>
      <c r="C381">
        <v>233.28</v>
      </c>
      <c r="D381" s="2"/>
    </row>
    <row r="382" spans="2:4" x14ac:dyDescent="0.3">
      <c r="B382" t="str">
        <v>2025-01-13</v>
      </c>
      <c r="C382">
        <v>234.4</v>
      </c>
      <c r="D382" s="2"/>
    </row>
    <row r="383" spans="2:4" x14ac:dyDescent="0.3">
      <c r="B383" t="str">
        <v>2025-01-10</v>
      </c>
      <c r="C383">
        <v>236.85</v>
      </c>
      <c r="D383" s="2"/>
    </row>
    <row r="384" spans="2:4" x14ac:dyDescent="0.3">
      <c r="B384" t="str">
        <v>2025-01-08</v>
      </c>
      <c r="C384">
        <v>242.7</v>
      </c>
      <c r="D384" s="2"/>
    </row>
    <row r="385" spans="2:4" x14ac:dyDescent="0.3">
      <c r="B385" t="str">
        <v>2025-01-07</v>
      </c>
      <c r="C385">
        <v>242.21</v>
      </c>
      <c r="D385" s="2"/>
    </row>
    <row r="386" spans="2:4" x14ac:dyDescent="0.3">
      <c r="B386" t="str">
        <v>2025-01-06</v>
      </c>
      <c r="C386">
        <v>245</v>
      </c>
      <c r="D386" s="2"/>
    </row>
    <row r="387" spans="2:4" x14ac:dyDescent="0.3">
      <c r="B387" t="str">
        <v>2025-01-03</v>
      </c>
      <c r="C387">
        <v>243.36</v>
      </c>
      <c r="D387" s="2"/>
    </row>
    <row r="388" spans="2:4" x14ac:dyDescent="0.3">
      <c r="B388" t="str">
        <v>2025-01-02</v>
      </c>
      <c r="C388">
        <v>243.85</v>
      </c>
      <c r="D388" s="2"/>
    </row>
    <row r="389" spans="2:4" x14ac:dyDescent="0.3">
      <c r="B389" t="str">
        <v>2024-12-31</v>
      </c>
      <c r="C389">
        <v>250.42</v>
      </c>
      <c r="D389" s="2"/>
    </row>
    <row r="390" spans="2:4" x14ac:dyDescent="0.3">
      <c r="B390" t="str">
        <v>2024-12-30</v>
      </c>
      <c r="C390">
        <v>252.2</v>
      </c>
      <c r="D390" s="2"/>
    </row>
    <row r="391" spans="2:4" x14ac:dyDescent="0.3">
      <c r="B391" t="str">
        <v>2024-12-27</v>
      </c>
      <c r="C391">
        <v>255.59</v>
      </c>
      <c r="D391" s="2"/>
    </row>
    <row r="392" spans="2:4" x14ac:dyDescent="0.3">
      <c r="B392" t="str">
        <v>2024-12-26</v>
      </c>
      <c r="C392">
        <v>259.02</v>
      </c>
      <c r="D392" s="2"/>
    </row>
    <row r="393" spans="2:4" x14ac:dyDescent="0.3">
      <c r="B393" t="str">
        <v>2024-12-24</v>
      </c>
      <c r="C393">
        <v>258.2</v>
      </c>
      <c r="D393" s="2"/>
    </row>
    <row r="394" spans="2:4" x14ac:dyDescent="0.3">
      <c r="B394" t="str">
        <v>2024-12-23</v>
      </c>
      <c r="C394">
        <v>255.27</v>
      </c>
      <c r="D394" s="2"/>
    </row>
    <row r="395" spans="2:4" x14ac:dyDescent="0.3">
      <c r="B395" t="str">
        <v>2024-12-20</v>
      </c>
      <c r="C395">
        <v>254.49</v>
      </c>
      <c r="D395" s="2"/>
    </row>
    <row r="396" spans="2:4" x14ac:dyDescent="0.3">
      <c r="B396" t="str">
        <v>2024-12-19</v>
      </c>
      <c r="C396">
        <v>249.79</v>
      </c>
      <c r="D396" s="2"/>
    </row>
    <row r="397" spans="2:4" x14ac:dyDescent="0.3">
      <c r="B397" t="str">
        <v>2024-12-18</v>
      </c>
      <c r="C397">
        <v>248.05</v>
      </c>
      <c r="D397" s="2"/>
    </row>
    <row r="398" spans="2:4" x14ac:dyDescent="0.3">
      <c r="B398" t="str">
        <v>2024-12-17</v>
      </c>
      <c r="C398">
        <v>253.48</v>
      </c>
      <c r="D398" s="2"/>
    </row>
    <row r="399" spans="2:4" x14ac:dyDescent="0.3">
      <c r="B399" t="str">
        <v>2024-12-16</v>
      </c>
      <c r="C399">
        <v>251.04</v>
      </c>
      <c r="D399" s="2"/>
    </row>
    <row r="400" spans="2:4" x14ac:dyDescent="0.3">
      <c r="B400" t="str">
        <v>2024-12-13</v>
      </c>
      <c r="C400">
        <v>248.13</v>
      </c>
      <c r="D400" s="2"/>
    </row>
    <row r="401" spans="2:4" x14ac:dyDescent="0.3">
      <c r="B401" t="str">
        <v>2024-12-12</v>
      </c>
      <c r="C401">
        <v>247.96</v>
      </c>
      <c r="D401" s="2"/>
    </row>
    <row r="402" spans="2:4" x14ac:dyDescent="0.3">
      <c r="B402" t="str">
        <v>2024-12-11</v>
      </c>
      <c r="C402">
        <v>246.49</v>
      </c>
      <c r="D402" s="2"/>
    </row>
    <row r="403" spans="2:4" x14ac:dyDescent="0.3">
      <c r="B403" t="str">
        <v>2024-12-10</v>
      </c>
      <c r="C403">
        <v>247.77</v>
      </c>
      <c r="D403" s="2"/>
    </row>
    <row r="404" spans="2:4" x14ac:dyDescent="0.3">
      <c r="B404" t="str">
        <v>2024-12-09</v>
      </c>
      <c r="C404">
        <v>246.75</v>
      </c>
      <c r="D404" s="2"/>
    </row>
    <row r="405" spans="2:4" x14ac:dyDescent="0.3">
      <c r="B405" t="str">
        <v>2024-12-06</v>
      </c>
      <c r="C405">
        <v>242.84</v>
      </c>
      <c r="D405" s="2"/>
    </row>
    <row r="406" spans="2:4" x14ac:dyDescent="0.3">
      <c r="B406" t="str">
        <v>2024-12-05</v>
      </c>
      <c r="C406">
        <v>243.04</v>
      </c>
      <c r="D406" s="2"/>
    </row>
    <row r="407" spans="2:4" x14ac:dyDescent="0.3">
      <c r="B407" t="str">
        <v>2024-12-04</v>
      </c>
      <c r="C407">
        <v>243.01</v>
      </c>
      <c r="D407" s="2"/>
    </row>
    <row r="408" spans="2:4" x14ac:dyDescent="0.3">
      <c r="B408" t="str">
        <v>2024-12-03</v>
      </c>
      <c r="C408">
        <v>242.65</v>
      </c>
      <c r="D408" s="2"/>
    </row>
    <row r="409" spans="2:4" x14ac:dyDescent="0.3">
      <c r="B409" t="str">
        <v>2024-12-02</v>
      </c>
      <c r="C409">
        <v>239.59</v>
      </c>
      <c r="D409" s="2"/>
    </row>
    <row r="410" spans="2:4" x14ac:dyDescent="0.3">
      <c r="B410" t="str">
        <v>2024-11-29</v>
      </c>
      <c r="C410">
        <v>237.33</v>
      </c>
      <c r="D410" s="2"/>
    </row>
    <row r="411" spans="2:4" x14ac:dyDescent="0.3">
      <c r="B411" t="str">
        <v>2024-11-27</v>
      </c>
      <c r="C411">
        <v>234.93</v>
      </c>
      <c r="D411" s="2"/>
    </row>
    <row r="412" spans="2:4" x14ac:dyDescent="0.3">
      <c r="B412" t="str">
        <v>2024-11-26</v>
      </c>
      <c r="C412">
        <v>235.06</v>
      </c>
      <c r="D412" s="2"/>
    </row>
    <row r="413" spans="2:4" x14ac:dyDescent="0.3">
      <c r="B413" t="str">
        <v>2024-11-25</v>
      </c>
      <c r="C413">
        <v>232.87</v>
      </c>
      <c r="D413" s="2"/>
    </row>
    <row r="414" spans="2:4" x14ac:dyDescent="0.3">
      <c r="B414" t="str">
        <v>2024-11-22</v>
      </c>
      <c r="C414">
        <v>229.87</v>
      </c>
      <c r="D414" s="2"/>
    </row>
    <row r="415" spans="2:4" x14ac:dyDescent="0.3">
      <c r="B415" t="str">
        <v>2024-11-21</v>
      </c>
      <c r="C415">
        <v>228.52</v>
      </c>
      <c r="D415" s="2"/>
    </row>
    <row r="416" spans="2:4" x14ac:dyDescent="0.3">
      <c r="B416" t="str">
        <v>2024-11-20</v>
      </c>
      <c r="C416">
        <v>229</v>
      </c>
      <c r="D416" s="2"/>
    </row>
    <row r="417" spans="2:4" x14ac:dyDescent="0.3">
      <c r="B417" t="str">
        <v>2024-11-19</v>
      </c>
      <c r="C417">
        <v>228.28</v>
      </c>
      <c r="D417" s="2"/>
    </row>
    <row r="418" spans="2:4" x14ac:dyDescent="0.3">
      <c r="B418" t="str">
        <v>2024-11-18</v>
      </c>
      <c r="C418">
        <v>228.02</v>
      </c>
      <c r="D418" s="2"/>
    </row>
    <row r="419" spans="2:4" x14ac:dyDescent="0.3">
      <c r="B419" t="str">
        <v>2024-11-15</v>
      </c>
      <c r="C419">
        <v>225</v>
      </c>
      <c r="D419" s="2"/>
    </row>
    <row r="420" spans="2:4" x14ac:dyDescent="0.3">
      <c r="B420" t="str">
        <v>2024-11-14</v>
      </c>
      <c r="C420">
        <v>228.22</v>
      </c>
      <c r="D420" s="2"/>
    </row>
    <row r="421" spans="2:4" x14ac:dyDescent="0.3">
      <c r="B421" t="str">
        <v>2024-11-13</v>
      </c>
      <c r="C421">
        <v>225.12</v>
      </c>
      <c r="D421" s="2"/>
    </row>
    <row r="422" spans="2:4" x14ac:dyDescent="0.3">
      <c r="B422" t="str">
        <v>2024-11-12</v>
      </c>
      <c r="C422">
        <v>224.23</v>
      </c>
      <c r="D422" s="2"/>
    </row>
    <row r="423" spans="2:4" x14ac:dyDescent="0.3">
      <c r="B423" t="str">
        <v>2024-11-11</v>
      </c>
      <c r="C423">
        <v>224.23</v>
      </c>
      <c r="D423" s="2"/>
    </row>
    <row r="424" spans="2:4" x14ac:dyDescent="0.3">
      <c r="B424" t="str">
        <v>2024-11-08</v>
      </c>
      <c r="C424">
        <v>226.96</v>
      </c>
      <c r="D424" s="2"/>
    </row>
    <row r="425" spans="2:4" x14ac:dyDescent="0.3">
      <c r="B425" t="str">
        <v>2024-11-07</v>
      </c>
      <c r="C425">
        <v>227.48</v>
      </c>
      <c r="D425" s="2"/>
    </row>
    <row r="426" spans="2:4" x14ac:dyDescent="0.3">
      <c r="B426" t="str">
        <v>2024-11-06</v>
      </c>
      <c r="C426">
        <v>222.72</v>
      </c>
      <c r="D426" s="2"/>
    </row>
    <row r="427" spans="2:4" x14ac:dyDescent="0.3">
      <c r="B427" t="str">
        <v>2024-11-05</v>
      </c>
      <c r="C427">
        <v>223.45</v>
      </c>
      <c r="D427" s="2"/>
    </row>
    <row r="428" spans="2:4" x14ac:dyDescent="0.3">
      <c r="B428" t="str">
        <v>2024-11-04</v>
      </c>
      <c r="C428">
        <v>222.01</v>
      </c>
      <c r="D428" s="2"/>
    </row>
    <row r="429" spans="2:4" x14ac:dyDescent="0.3">
      <c r="B429" t="str">
        <v>2024-11-01</v>
      </c>
      <c r="C429">
        <v>222.91</v>
      </c>
      <c r="D429" s="2"/>
    </row>
    <row r="430" spans="2:4" x14ac:dyDescent="0.3">
      <c r="B430" t="str">
        <v>2024-10-31</v>
      </c>
      <c r="C430">
        <v>225.91</v>
      </c>
      <c r="D430" s="2"/>
    </row>
    <row r="431" spans="2:4" x14ac:dyDescent="0.3">
      <c r="B431" t="str">
        <v>2024-10-30</v>
      </c>
      <c r="C431">
        <v>230.1</v>
      </c>
      <c r="D431" s="2"/>
    </row>
    <row r="432" spans="2:4" x14ac:dyDescent="0.3">
      <c r="B432" t="str">
        <v>2024-10-29</v>
      </c>
      <c r="C432">
        <v>233.67</v>
      </c>
      <c r="D432" s="2"/>
    </row>
    <row r="433" spans="2:4" x14ac:dyDescent="0.3">
      <c r="B433" t="str">
        <v>2024-10-28</v>
      </c>
      <c r="C433">
        <v>233.4</v>
      </c>
      <c r="D433" s="2"/>
    </row>
    <row r="434" spans="2:4" x14ac:dyDescent="0.3">
      <c r="B434" t="str">
        <v>2024-10-25</v>
      </c>
      <c r="C434">
        <v>231.41</v>
      </c>
      <c r="D434" s="2"/>
    </row>
    <row r="435" spans="2:4" x14ac:dyDescent="0.3">
      <c r="B435" t="str">
        <v>2024-10-24</v>
      </c>
      <c r="C435">
        <v>230.57</v>
      </c>
      <c r="D435" s="2"/>
    </row>
    <row r="436" spans="2:4" x14ac:dyDescent="0.3">
      <c r="B436" t="str">
        <v>2024-10-23</v>
      </c>
      <c r="C436">
        <v>230.76</v>
      </c>
      <c r="D436" s="2"/>
    </row>
    <row r="437" spans="2:4" x14ac:dyDescent="0.3">
      <c r="B437" t="str">
        <v>2024-10-22</v>
      </c>
      <c r="C437">
        <v>235.86</v>
      </c>
      <c r="D437" s="2"/>
    </row>
    <row r="438" spans="2:4" x14ac:dyDescent="0.3">
      <c r="B438" t="str">
        <v>2024-10-21</v>
      </c>
      <c r="C438">
        <v>236.48</v>
      </c>
      <c r="D438" s="2"/>
    </row>
    <row r="439" spans="2:4" x14ac:dyDescent="0.3">
      <c r="B439" t="str">
        <v>2024-10-18</v>
      </c>
      <c r="C439">
        <v>235</v>
      </c>
      <c r="D439" s="2"/>
    </row>
    <row r="440" spans="2:4" x14ac:dyDescent="0.3">
      <c r="B440" t="str">
        <v>2024-10-17</v>
      </c>
      <c r="C440">
        <v>232.15</v>
      </c>
      <c r="D440" s="2"/>
    </row>
    <row r="441" spans="2:4" x14ac:dyDescent="0.3">
      <c r="B441" t="str">
        <v>2024-10-16</v>
      </c>
      <c r="C441">
        <v>231.78</v>
      </c>
      <c r="D441" s="2"/>
    </row>
    <row r="442" spans="2:4" x14ac:dyDescent="0.3">
      <c r="B442" t="str">
        <v>2024-10-15</v>
      </c>
      <c r="C442">
        <v>233.85</v>
      </c>
      <c r="D442" s="2"/>
    </row>
    <row r="443" spans="2:4" x14ac:dyDescent="0.3">
      <c r="B443" t="str">
        <v>2024-10-14</v>
      </c>
      <c r="C443">
        <v>231.3</v>
      </c>
      <c r="D443" s="2"/>
    </row>
    <row r="444" spans="2:4" x14ac:dyDescent="0.3">
      <c r="B444" t="str">
        <v>2024-10-11</v>
      </c>
      <c r="C444">
        <v>227.55</v>
      </c>
      <c r="D444" s="2"/>
    </row>
    <row r="445" spans="2:4" x14ac:dyDescent="0.3">
      <c r="B445" t="str">
        <v>2024-10-10</v>
      </c>
      <c r="C445">
        <v>229.04</v>
      </c>
      <c r="D445" s="2"/>
    </row>
    <row r="446" spans="2:4" x14ac:dyDescent="0.3">
      <c r="B446" t="str">
        <v>2024-10-09</v>
      </c>
      <c r="C446">
        <v>229.54</v>
      </c>
      <c r="D446" s="2"/>
    </row>
    <row r="447" spans="2:4" x14ac:dyDescent="0.3">
      <c r="B447" t="str">
        <v>2024-10-08</v>
      </c>
      <c r="C447">
        <v>225.77</v>
      </c>
      <c r="D447" s="2"/>
    </row>
    <row r="448" spans="2:4" x14ac:dyDescent="0.3">
      <c r="B448" t="str">
        <v>2024-10-07</v>
      </c>
      <c r="C448">
        <v>221.69</v>
      </c>
      <c r="D448" s="2"/>
    </row>
    <row r="449" spans="2:4" x14ac:dyDescent="0.3">
      <c r="B449" t="str">
        <v>2024-10-04</v>
      </c>
      <c r="C449">
        <v>226.8</v>
      </c>
      <c r="D449" s="2"/>
    </row>
    <row r="450" spans="2:4" x14ac:dyDescent="0.3">
      <c r="B450" t="str">
        <v>2024-10-03</v>
      </c>
      <c r="C450">
        <v>225.67</v>
      </c>
      <c r="D450" s="2"/>
    </row>
    <row r="451" spans="2:4" x14ac:dyDescent="0.3">
      <c r="B451" t="str">
        <v>2024-10-02</v>
      </c>
      <c r="C451">
        <v>226.78</v>
      </c>
      <c r="D451" s="2"/>
    </row>
    <row r="452" spans="2:4" x14ac:dyDescent="0.3">
      <c r="B452" t="str">
        <v>2024-10-01</v>
      </c>
      <c r="C452">
        <v>226.21</v>
      </c>
      <c r="D452" s="2"/>
    </row>
    <row r="453" spans="2:4" x14ac:dyDescent="0.3">
      <c r="B453" t="str">
        <v>2024-09-30</v>
      </c>
      <c r="C453">
        <v>233</v>
      </c>
      <c r="D453" s="2"/>
    </row>
    <row r="454" spans="2:4" x14ac:dyDescent="0.3">
      <c r="B454" t="str">
        <v>2024-09-27</v>
      </c>
      <c r="C454">
        <v>227.79</v>
      </c>
      <c r="D454" s="2"/>
    </row>
    <row r="455" spans="2:4" x14ac:dyDescent="0.3">
      <c r="B455" t="str">
        <v>2024-09-26</v>
      </c>
      <c r="C455">
        <v>227.52</v>
      </c>
      <c r="D455" s="2"/>
    </row>
    <row r="456" spans="2:4" x14ac:dyDescent="0.3">
      <c r="B456" t="str">
        <v>2024-09-25</v>
      </c>
      <c r="C456">
        <v>226.37</v>
      </c>
      <c r="D456" s="2"/>
    </row>
    <row r="457" spans="2:4" x14ac:dyDescent="0.3">
      <c r="B457" t="str">
        <v>2024-09-24</v>
      </c>
      <c r="C457">
        <v>227.37</v>
      </c>
      <c r="D457" s="2"/>
    </row>
    <row r="458" spans="2:4" x14ac:dyDescent="0.3">
      <c r="B458" t="str">
        <v>2024-09-23</v>
      </c>
      <c r="C458">
        <v>226.47</v>
      </c>
      <c r="D458" s="2"/>
    </row>
    <row r="459" spans="2:4" x14ac:dyDescent="0.3">
      <c r="B459" t="str">
        <v>2024-09-20</v>
      </c>
      <c r="C459">
        <v>228.2</v>
      </c>
      <c r="D459" s="2"/>
    </row>
    <row r="460" spans="2:4" x14ac:dyDescent="0.3">
      <c r="B460" t="str">
        <v>2024-09-19</v>
      </c>
      <c r="C460">
        <v>228.87</v>
      </c>
      <c r="D460" s="2"/>
    </row>
    <row r="461" spans="2:4" x14ac:dyDescent="0.3">
      <c r="B461" t="str">
        <v>2024-09-18</v>
      </c>
      <c r="C461">
        <v>220.69</v>
      </c>
      <c r="D461" s="2"/>
    </row>
    <row r="462" spans="2:4" x14ac:dyDescent="0.3">
      <c r="B462" t="str">
        <v>2024-09-17</v>
      </c>
      <c r="C462">
        <v>216.79</v>
      </c>
      <c r="D462" s="2"/>
    </row>
    <row r="463" spans="2:4" x14ac:dyDescent="0.3">
      <c r="B463" t="str">
        <v>2024-09-16</v>
      </c>
      <c r="C463">
        <v>216.32</v>
      </c>
      <c r="D463" s="2"/>
    </row>
    <row r="464" spans="2:4" x14ac:dyDescent="0.3">
      <c r="B464" t="str">
        <v>2024-09-13</v>
      </c>
      <c r="C464">
        <v>222.5</v>
      </c>
      <c r="D464" s="2"/>
    </row>
    <row r="465" spans="2:4" x14ac:dyDescent="0.3">
      <c r="B465" t="str">
        <v>2024-09-12</v>
      </c>
      <c r="C465">
        <v>222.77</v>
      </c>
      <c r="D465" s="2"/>
    </row>
    <row r="466" spans="2:4" x14ac:dyDescent="0.3">
      <c r="B466" t="str">
        <v>2024-09-11</v>
      </c>
      <c r="C466">
        <v>222.66</v>
      </c>
      <c r="D466" s="2"/>
    </row>
    <row r="467" spans="2:4" x14ac:dyDescent="0.3">
      <c r="B467" t="str">
        <v>2024-09-10</v>
      </c>
      <c r="C467">
        <v>220.11</v>
      </c>
      <c r="D467" s="2"/>
    </row>
    <row r="468" spans="2:4" x14ac:dyDescent="0.3">
      <c r="B468" t="str">
        <v>2024-09-09</v>
      </c>
      <c r="C468">
        <v>220.91</v>
      </c>
      <c r="D468" s="2"/>
    </row>
    <row r="469" spans="2:4" x14ac:dyDescent="0.3">
      <c r="B469" t="str">
        <v>2024-09-06</v>
      </c>
      <c r="C469">
        <v>220.82</v>
      </c>
      <c r="D469" s="2"/>
    </row>
    <row r="470" spans="2:4" x14ac:dyDescent="0.3">
      <c r="B470" t="str">
        <v>2024-09-05</v>
      </c>
      <c r="C470">
        <v>222.38</v>
      </c>
      <c r="D470" s="2"/>
    </row>
    <row r="471" spans="2:4" x14ac:dyDescent="0.3">
      <c r="B471" t="str">
        <v>2024-09-04</v>
      </c>
      <c r="C471">
        <v>220.85</v>
      </c>
      <c r="D471" s="2"/>
    </row>
    <row r="472" spans="2:4" x14ac:dyDescent="0.3">
      <c r="B472" t="str">
        <v>2024-09-03</v>
      </c>
      <c r="C472">
        <v>222.77</v>
      </c>
      <c r="D472" s="2"/>
    </row>
    <row r="473" spans="2:4" x14ac:dyDescent="0.3">
      <c r="B473" t="str">
        <v>2024-08-30</v>
      </c>
      <c r="C473">
        <v>229</v>
      </c>
      <c r="D473" s="2"/>
    </row>
    <row r="474" spans="2:4" x14ac:dyDescent="0.3">
      <c r="B474" t="str">
        <v>2024-08-29</v>
      </c>
      <c r="C474">
        <v>229.79</v>
      </c>
      <c r="D474" s="2"/>
    </row>
    <row r="475" spans="2:4" x14ac:dyDescent="0.3">
      <c r="B475" t="str">
        <v>2024-08-28</v>
      </c>
      <c r="C475">
        <v>226.49</v>
      </c>
      <c r="D475" s="2"/>
    </row>
    <row r="476" spans="2:4" x14ac:dyDescent="0.3">
      <c r="B476" t="str">
        <v>2024-08-27</v>
      </c>
      <c r="C476">
        <v>228.03</v>
      </c>
      <c r="D476" s="2"/>
    </row>
    <row r="477" spans="2:4" x14ac:dyDescent="0.3">
      <c r="B477" t="str">
        <v>2024-08-26</v>
      </c>
      <c r="C477">
        <v>227.18</v>
      </c>
      <c r="D477" s="2"/>
    </row>
    <row r="478" spans="2:4" x14ac:dyDescent="0.3">
      <c r="B478" t="str">
        <v>2024-08-23</v>
      </c>
      <c r="C478">
        <v>226.84</v>
      </c>
      <c r="D478" s="2"/>
    </row>
    <row r="479" spans="2:4" x14ac:dyDescent="0.3">
      <c r="B479" t="str">
        <v>2024-08-22</v>
      </c>
      <c r="C479">
        <v>224.53</v>
      </c>
      <c r="D479" s="2"/>
    </row>
    <row r="480" spans="2:4" x14ac:dyDescent="0.3">
      <c r="B480" t="str">
        <v>2024-08-21</v>
      </c>
      <c r="C480">
        <v>226.4</v>
      </c>
      <c r="D480" s="2"/>
    </row>
    <row r="481" spans="2:4" x14ac:dyDescent="0.3">
      <c r="B481" t="str">
        <v>2024-08-20</v>
      </c>
      <c r="C481">
        <v>226.51</v>
      </c>
      <c r="D481" s="2"/>
    </row>
    <row r="482" spans="2:4" x14ac:dyDescent="0.3">
      <c r="B482" t="str">
        <v>2024-08-19</v>
      </c>
      <c r="C482">
        <v>225.89</v>
      </c>
      <c r="D482" s="2"/>
    </row>
    <row r="483" spans="2:4" x14ac:dyDescent="0.3">
      <c r="B483" t="str">
        <v>2024-08-16</v>
      </c>
      <c r="C483">
        <v>226.05</v>
      </c>
      <c r="D483" s="2"/>
    </row>
    <row r="484" spans="2:4" x14ac:dyDescent="0.3">
      <c r="B484" t="str">
        <v>2024-08-15</v>
      </c>
      <c r="C484">
        <v>224.72</v>
      </c>
      <c r="D484" s="2"/>
    </row>
    <row r="485" spans="2:4" x14ac:dyDescent="0.3">
      <c r="B485" t="str">
        <v>2024-08-14</v>
      </c>
      <c r="C485">
        <v>221.72</v>
      </c>
      <c r="D485" s="2"/>
    </row>
    <row r="486" spans="2:4" x14ac:dyDescent="0.3">
      <c r="B486" t="str">
        <v>2024-08-13</v>
      </c>
      <c r="C486">
        <v>221.27</v>
      </c>
      <c r="D486" s="2"/>
    </row>
    <row r="487" spans="2:4" x14ac:dyDescent="0.3">
      <c r="B487" t="str">
        <v>2024-08-12</v>
      </c>
      <c r="C487">
        <v>217.53</v>
      </c>
      <c r="D487" s="2"/>
    </row>
    <row r="488" spans="2:4" x14ac:dyDescent="0.3">
      <c r="B488" t="str">
        <v>2024-08-09</v>
      </c>
      <c r="C488">
        <v>216.24</v>
      </c>
      <c r="D488" s="2"/>
    </row>
    <row r="489" spans="2:4" x14ac:dyDescent="0.3">
      <c r="B489" t="str">
        <v>2024-08-08</v>
      </c>
      <c r="C489">
        <v>213.31</v>
      </c>
      <c r="D489" s="2"/>
    </row>
    <row r="490" spans="2:4" x14ac:dyDescent="0.3">
      <c r="B490" t="str">
        <v>2024-08-07</v>
      </c>
      <c r="C490">
        <v>209.82</v>
      </c>
      <c r="D490" s="2"/>
    </row>
    <row r="491" spans="2:4" x14ac:dyDescent="0.3">
      <c r="B491" t="str">
        <v>2024-08-06</v>
      </c>
      <c r="C491">
        <v>207.23</v>
      </c>
      <c r="D491" s="2"/>
    </row>
    <row r="492" spans="2:4" x14ac:dyDescent="0.3">
      <c r="B492" t="str">
        <v>2024-08-05</v>
      </c>
      <c r="C492">
        <v>209.27</v>
      </c>
      <c r="D492" s="2"/>
    </row>
    <row r="493" spans="2:4" x14ac:dyDescent="0.3">
      <c r="B493" t="str">
        <v>2024-08-02</v>
      </c>
      <c r="C493">
        <v>219.86</v>
      </c>
      <c r="D493" s="2"/>
    </row>
    <row r="494" spans="2:4" x14ac:dyDescent="0.3">
      <c r="B494" t="str">
        <v>2024-08-01</v>
      </c>
      <c r="C494">
        <v>218.36</v>
      </c>
      <c r="D494" s="2"/>
    </row>
    <row r="495" spans="2:4" x14ac:dyDescent="0.3">
      <c r="B495" t="str">
        <v>2024-07-31</v>
      </c>
      <c r="C495">
        <v>222.08</v>
      </c>
      <c r="D495" s="2"/>
    </row>
    <row r="496" spans="2:4" x14ac:dyDescent="0.3">
      <c r="B496" t="str">
        <v>2024-07-30</v>
      </c>
      <c r="C496">
        <v>218.8</v>
      </c>
      <c r="D496" s="2"/>
    </row>
    <row r="497" spans="2:4" x14ac:dyDescent="0.3">
      <c r="B497" t="str">
        <v>2024-07-29</v>
      </c>
      <c r="C497">
        <v>218.24</v>
      </c>
      <c r="D497" s="2"/>
    </row>
    <row r="498" spans="2:4" x14ac:dyDescent="0.3">
      <c r="B498" t="str">
        <v>2024-07-26</v>
      </c>
      <c r="C498">
        <v>217.96</v>
      </c>
      <c r="D498" s="2"/>
    </row>
    <row r="499" spans="2:4" x14ac:dyDescent="0.3">
      <c r="B499" t="str">
        <v>2024-07-25</v>
      </c>
      <c r="C499">
        <v>217.49</v>
      </c>
      <c r="D499" s="2"/>
    </row>
    <row r="500" spans="2:4" x14ac:dyDescent="0.3">
      <c r="B500" t="str">
        <v>2024-07-24</v>
      </c>
      <c r="C500">
        <v>218.54</v>
      </c>
      <c r="D500" s="2"/>
    </row>
    <row r="501" spans="2:4" x14ac:dyDescent="0.3">
      <c r="B501" t="str">
        <v>2024-07-23</v>
      </c>
      <c r="C501">
        <v>225.01</v>
      </c>
      <c r="D501" s="2"/>
    </row>
    <row r="502" spans="2:4" x14ac:dyDescent="0.3">
      <c r="B502" t="str">
        <v>2024-07-22</v>
      </c>
      <c r="C502">
        <v>223.96</v>
      </c>
      <c r="D502" s="2"/>
    </row>
    <row r="503" spans="2:4" x14ac:dyDescent="0.3">
      <c r="B503" t="str">
        <v>2024-07-19</v>
      </c>
      <c r="C503">
        <v>224.31</v>
      </c>
      <c r="D503" s="2"/>
    </row>
    <row r="504" spans="2:4" x14ac:dyDescent="0.3">
      <c r="B504" t="str">
        <v>2024-07-18</v>
      </c>
      <c r="C504">
        <v>224.18</v>
      </c>
      <c r="D504" s="2"/>
    </row>
    <row r="505" spans="2:4" x14ac:dyDescent="0.3">
      <c r="B505" t="str">
        <v>2024-07-17</v>
      </c>
      <c r="C505">
        <v>228.88</v>
      </c>
      <c r="D505" s="2"/>
    </row>
    <row r="506" spans="2:4" x14ac:dyDescent="0.3">
      <c r="B506" t="str">
        <v>2024-07-16</v>
      </c>
      <c r="C506">
        <v>234.82</v>
      </c>
      <c r="D506" s="2"/>
    </row>
    <row r="507" spans="2:4" x14ac:dyDescent="0.3">
      <c r="B507" t="str">
        <v>2024-07-15</v>
      </c>
      <c r="C507">
        <v>234.4</v>
      </c>
      <c r="D507" s="2"/>
    </row>
    <row r="508" spans="2:4" x14ac:dyDescent="0.3">
      <c r="B508" t="str">
        <v>2024-07-12</v>
      </c>
      <c r="C508">
        <v>230.54</v>
      </c>
      <c r="D508" s="2"/>
    </row>
    <row r="509" spans="2:4" x14ac:dyDescent="0.3">
      <c r="B509" t="str">
        <v>2024-07-11</v>
      </c>
      <c r="C509">
        <v>227.57</v>
      </c>
      <c r="D509" s="2"/>
    </row>
    <row r="510" spans="2:4" x14ac:dyDescent="0.3">
      <c r="B510" t="str">
        <v>2024-07-10</v>
      </c>
      <c r="C510">
        <v>232.98</v>
      </c>
      <c r="D510" s="2"/>
    </row>
    <row r="511" spans="2:4" x14ac:dyDescent="0.3">
      <c r="B511" t="str">
        <v>2024-07-09</v>
      </c>
      <c r="C511">
        <v>228.68</v>
      </c>
      <c r="D511" s="2"/>
    </row>
    <row r="512" spans="2:4" x14ac:dyDescent="0.3">
      <c r="B512" t="str">
        <v>2024-07-08</v>
      </c>
      <c r="C512">
        <v>227.82</v>
      </c>
      <c r="D512" s="2"/>
    </row>
    <row r="513" spans="2:4" x14ac:dyDescent="0.3">
      <c r="B513" t="str">
        <v>2024-07-05</v>
      </c>
      <c r="C513">
        <v>226.34</v>
      </c>
      <c r="D513" s="2"/>
    </row>
    <row r="514" spans="2:4" x14ac:dyDescent="0.3">
      <c r="B514" t="str">
        <v>2024-07-03</v>
      </c>
      <c r="C514">
        <v>221.55</v>
      </c>
      <c r="D514" s="2"/>
    </row>
    <row r="515" spans="2:4" x14ac:dyDescent="0.3">
      <c r="B515" t="str">
        <v>2024-07-02</v>
      </c>
      <c r="C515">
        <v>220.27</v>
      </c>
      <c r="D515" s="2"/>
    </row>
    <row r="516" spans="2:4" x14ac:dyDescent="0.3">
      <c r="B516" t="str">
        <v>2024-07-01</v>
      </c>
      <c r="C516">
        <v>216.75</v>
      </c>
      <c r="D516" s="2"/>
    </row>
    <row r="517" spans="2:4" x14ac:dyDescent="0.3">
      <c r="B517" t="str">
        <v>2024-06-28</v>
      </c>
      <c r="C517">
        <v>210.62</v>
      </c>
      <c r="D517" s="2"/>
    </row>
    <row r="518" spans="2:4" x14ac:dyDescent="0.3">
      <c r="B518" t="str">
        <v>2024-06-27</v>
      </c>
      <c r="C518">
        <v>214.1</v>
      </c>
      <c r="D518" s="2"/>
    </row>
    <row r="519" spans="2:4" x14ac:dyDescent="0.3">
      <c r="B519" t="str">
        <v>2024-06-26</v>
      </c>
      <c r="C519">
        <v>213.25</v>
      </c>
      <c r="D519" s="2"/>
    </row>
    <row r="520" spans="2:4" x14ac:dyDescent="0.3">
      <c r="B520" t="str">
        <v>2024-06-25</v>
      </c>
      <c r="C520">
        <v>209.07</v>
      </c>
      <c r="D520" s="2"/>
    </row>
    <row r="521" spans="2:4" x14ac:dyDescent="0.3">
      <c r="B521" t="str">
        <v>2024-06-24</v>
      </c>
      <c r="C521">
        <v>208.14</v>
      </c>
      <c r="D521" s="2"/>
    </row>
    <row r="522" spans="2:4" x14ac:dyDescent="0.3">
      <c r="B522" t="str">
        <v>2024-06-21</v>
      </c>
      <c r="C522">
        <v>207.49</v>
      </c>
      <c r="D522" s="2"/>
    </row>
    <row r="523" spans="2:4" x14ac:dyDescent="0.3">
      <c r="B523" t="str">
        <v>2024-06-20</v>
      </c>
      <c r="C523">
        <v>209.68</v>
      </c>
      <c r="D523" s="2"/>
    </row>
    <row r="524" spans="2:4" x14ac:dyDescent="0.3">
      <c r="B524" t="str">
        <v>2024-06-18</v>
      </c>
      <c r="C524">
        <v>214.29</v>
      </c>
      <c r="D524" s="2"/>
    </row>
    <row r="525" spans="2:4" x14ac:dyDescent="0.3">
      <c r="B525" t="str">
        <v>2024-06-17</v>
      </c>
      <c r="C525">
        <v>216.67</v>
      </c>
      <c r="D525" s="2"/>
    </row>
    <row r="526" spans="2:4" x14ac:dyDescent="0.3">
      <c r="B526" t="str">
        <v>2024-06-14</v>
      </c>
      <c r="C526">
        <v>212.49</v>
      </c>
      <c r="D526" s="2"/>
    </row>
    <row r="527" spans="2:4" x14ac:dyDescent="0.3">
      <c r="B527" t="str">
        <v>2024-06-13</v>
      </c>
      <c r="C527">
        <v>214.24</v>
      </c>
      <c r="D527" s="2"/>
    </row>
    <row r="528" spans="2:4" x14ac:dyDescent="0.3">
      <c r="B528" t="str">
        <v>2024-06-12</v>
      </c>
      <c r="C528">
        <v>213.07</v>
      </c>
      <c r="D528" s="2"/>
    </row>
    <row r="529" spans="2:4" x14ac:dyDescent="0.3">
      <c r="B529" t="str">
        <v>2024-06-11</v>
      </c>
      <c r="C529">
        <v>207.15</v>
      </c>
      <c r="D529" s="2"/>
    </row>
    <row r="530" spans="2:4" x14ac:dyDescent="0.3">
      <c r="B530" t="str">
        <v>2024-06-10</v>
      </c>
      <c r="C530">
        <v>193.12</v>
      </c>
      <c r="D530" s="2"/>
    </row>
    <row r="531" spans="2:4" x14ac:dyDescent="0.3">
      <c r="B531" t="str">
        <v>2024-06-07</v>
      </c>
      <c r="C531">
        <v>196.89</v>
      </c>
      <c r="D531" s="2"/>
    </row>
    <row r="532" spans="2:4" x14ac:dyDescent="0.3">
      <c r="B532" t="str">
        <v>2024-06-06</v>
      </c>
      <c r="C532">
        <v>194.48</v>
      </c>
      <c r="D532" s="2"/>
    </row>
    <row r="533" spans="2:4" x14ac:dyDescent="0.3">
      <c r="B533" t="str">
        <v>2024-06-05</v>
      </c>
      <c r="C533">
        <v>195.87</v>
      </c>
      <c r="D533" s="2"/>
    </row>
    <row r="534" spans="2:4" x14ac:dyDescent="0.3">
      <c r="B534" t="str">
        <v>2024-06-04</v>
      </c>
      <c r="C534">
        <v>194.35</v>
      </c>
      <c r="D534" s="2"/>
    </row>
    <row r="535" spans="2:4" x14ac:dyDescent="0.3">
      <c r="B535" t="str">
        <v>2024-06-03</v>
      </c>
      <c r="C535">
        <v>194.03</v>
      </c>
      <c r="D535" s="2"/>
    </row>
    <row r="536" spans="2:4" x14ac:dyDescent="0.3">
      <c r="B536" t="str">
        <v>2024-05-31</v>
      </c>
      <c r="C536">
        <v>192.25</v>
      </c>
      <c r="D536" s="2"/>
    </row>
    <row r="537" spans="2:4" x14ac:dyDescent="0.3">
      <c r="B537" t="str">
        <v>2024-05-30</v>
      </c>
      <c r="C537">
        <v>191.29</v>
      </c>
      <c r="D537" s="2"/>
    </row>
    <row r="538" spans="2:4" x14ac:dyDescent="0.3">
      <c r="B538" t="str">
        <v>2024-05-29</v>
      </c>
      <c r="C538">
        <v>190.29</v>
      </c>
      <c r="D538" s="2"/>
    </row>
    <row r="539" spans="2:4" x14ac:dyDescent="0.3">
      <c r="B539" t="str">
        <v>2024-05-28</v>
      </c>
      <c r="C539">
        <v>189.99</v>
      </c>
      <c r="D539" s="2"/>
    </row>
    <row r="540" spans="2:4" x14ac:dyDescent="0.3">
      <c r="B540" t="str">
        <v>2024-05-24</v>
      </c>
      <c r="C540">
        <v>189.98</v>
      </c>
      <c r="D540" s="2"/>
    </row>
    <row r="541" spans="2:4" x14ac:dyDescent="0.3">
      <c r="B541" t="str">
        <v>2024-05-23</v>
      </c>
      <c r="C541">
        <v>186.88</v>
      </c>
      <c r="D541" s="2"/>
    </row>
    <row r="542" spans="2:4" x14ac:dyDescent="0.3">
      <c r="B542" t="str">
        <v>2024-05-22</v>
      </c>
      <c r="C542">
        <v>190.9</v>
      </c>
      <c r="D542" s="2"/>
    </row>
    <row r="543" spans="2:4" x14ac:dyDescent="0.3">
      <c r="B543" t="str">
        <v>2024-05-21</v>
      </c>
      <c r="C543">
        <v>192.35</v>
      </c>
      <c r="D543" s="2"/>
    </row>
    <row r="544" spans="2:4" x14ac:dyDescent="0.3">
      <c r="B544" t="str">
        <v>2024-05-20</v>
      </c>
      <c r="C544">
        <v>191.04</v>
      </c>
      <c r="D544" s="2"/>
    </row>
    <row r="545" spans="2:4" x14ac:dyDescent="0.3">
      <c r="B545" t="str">
        <v>2024-05-17</v>
      </c>
      <c r="C545">
        <v>189.87</v>
      </c>
      <c r="D545" s="2"/>
    </row>
    <row r="546" spans="2:4" x14ac:dyDescent="0.3">
      <c r="B546" t="str">
        <v>2024-05-16</v>
      </c>
      <c r="C546">
        <v>189.84</v>
      </c>
      <c r="D546" s="2"/>
    </row>
    <row r="547" spans="2:4" x14ac:dyDescent="0.3">
      <c r="B547" t="str">
        <v>2024-05-15</v>
      </c>
      <c r="C547">
        <v>189.72</v>
      </c>
      <c r="D547" s="2"/>
    </row>
    <row r="548" spans="2:4" x14ac:dyDescent="0.3">
      <c r="B548" t="str">
        <v>2024-05-14</v>
      </c>
      <c r="C548">
        <v>187.43</v>
      </c>
      <c r="D548" s="2"/>
    </row>
    <row r="549" spans="2:4" x14ac:dyDescent="0.3">
      <c r="B549" t="str">
        <v>2024-05-13</v>
      </c>
      <c r="C549">
        <v>186.28</v>
      </c>
      <c r="D549" s="2"/>
    </row>
    <row r="550" spans="2:4" x14ac:dyDescent="0.3">
      <c r="B550" t="str">
        <v>2024-05-10</v>
      </c>
      <c r="C550">
        <v>183.05</v>
      </c>
      <c r="D550" s="2"/>
    </row>
    <row r="551" spans="2:4" x14ac:dyDescent="0.3">
      <c r="B551" t="str">
        <v>2024-05-09</v>
      </c>
      <c r="C551">
        <v>184.57</v>
      </c>
      <c r="D551" s="2"/>
    </row>
    <row r="552" spans="2:4" x14ac:dyDescent="0.3">
      <c r="B552" t="str">
        <v>2024-05-08</v>
      </c>
      <c r="C552">
        <v>182.74</v>
      </c>
      <c r="D552" s="2"/>
    </row>
    <row r="553" spans="2:4" x14ac:dyDescent="0.3">
      <c r="B553" t="str">
        <v>2024-05-07</v>
      </c>
      <c r="C553">
        <v>182.4</v>
      </c>
      <c r="D553" s="2"/>
    </row>
    <row r="554" spans="2:4" x14ac:dyDescent="0.3">
      <c r="B554" t="str">
        <v>2024-05-06</v>
      </c>
      <c r="C554">
        <v>181.71</v>
      </c>
      <c r="D554" s="2"/>
    </row>
    <row r="555" spans="2:4" x14ac:dyDescent="0.3">
      <c r="B555" t="str">
        <v>2024-05-03</v>
      </c>
      <c r="C555">
        <v>183.38</v>
      </c>
      <c r="D555" s="2"/>
    </row>
    <row r="556" spans="2:4" x14ac:dyDescent="0.3">
      <c r="B556" t="str">
        <v>2024-05-02</v>
      </c>
      <c r="C556">
        <v>173.03</v>
      </c>
      <c r="D556" s="2"/>
    </row>
    <row r="557" spans="2:4" x14ac:dyDescent="0.3">
      <c r="B557" t="str">
        <v>2024-05-01</v>
      </c>
      <c r="C557">
        <v>169.3</v>
      </c>
      <c r="D557" s="2"/>
    </row>
    <row r="558" spans="2:4" x14ac:dyDescent="0.3">
      <c r="B558" t="str">
        <v>2024-04-30</v>
      </c>
      <c r="C558">
        <v>170.33</v>
      </c>
      <c r="D558" s="2"/>
    </row>
    <row r="559" spans="2:4" x14ac:dyDescent="0.3">
      <c r="B559" t="str">
        <v>2024-04-29</v>
      </c>
      <c r="C559">
        <v>173.5</v>
      </c>
      <c r="D559" s="2"/>
    </row>
    <row r="560" spans="2:4" x14ac:dyDescent="0.3">
      <c r="B560" t="str">
        <v>2024-04-26</v>
      </c>
      <c r="C560">
        <v>169.3</v>
      </c>
      <c r="D560" s="2"/>
    </row>
    <row r="561" spans="2:4" x14ac:dyDescent="0.3">
      <c r="B561" t="str">
        <v>2024-04-25</v>
      </c>
      <c r="C561">
        <v>169.89</v>
      </c>
      <c r="D561" s="2"/>
    </row>
    <row r="562" spans="2:4" x14ac:dyDescent="0.3">
      <c r="B562" t="str">
        <v>2024-04-24</v>
      </c>
      <c r="C562">
        <v>169.02</v>
      </c>
      <c r="D562" s="2"/>
    </row>
    <row r="563" spans="2:4" x14ac:dyDescent="0.3">
      <c r="B563" t="str">
        <v>2024-04-23</v>
      </c>
      <c r="C563">
        <v>166.9</v>
      </c>
      <c r="D563" s="2"/>
    </row>
    <row r="564" spans="2:4" x14ac:dyDescent="0.3">
      <c r="B564" t="str">
        <v>2024-04-22</v>
      </c>
      <c r="C564">
        <v>165.84</v>
      </c>
      <c r="D564" s="2"/>
    </row>
    <row r="565" spans="2:4" x14ac:dyDescent="0.3">
      <c r="B565" t="str">
        <v>2024-04-19</v>
      </c>
      <c r="C565">
        <v>165</v>
      </c>
      <c r="D565" s="2"/>
    </row>
    <row r="566" spans="2:4" x14ac:dyDescent="0.3">
      <c r="B566" t="str">
        <v>2024-04-18</v>
      </c>
      <c r="C566">
        <v>167.04</v>
      </c>
      <c r="D566" s="2"/>
    </row>
    <row r="567" spans="2:4" x14ac:dyDescent="0.3">
      <c r="B567" t="str">
        <v>2024-04-17</v>
      </c>
      <c r="C567">
        <v>168</v>
      </c>
      <c r="D567" s="2"/>
    </row>
    <row r="568" spans="2:4" x14ac:dyDescent="0.3">
      <c r="B568" t="str">
        <v>2024-04-16</v>
      </c>
      <c r="C568">
        <v>169.38</v>
      </c>
      <c r="D568" s="2"/>
    </row>
    <row r="569" spans="2:4" x14ac:dyDescent="0.3">
      <c r="B569" t="str">
        <v>2024-04-15</v>
      </c>
      <c r="C569">
        <v>172.69</v>
      </c>
      <c r="D569" s="2"/>
    </row>
    <row r="570" spans="2:4" x14ac:dyDescent="0.3">
      <c r="B570" t="str">
        <v>2024-04-12</v>
      </c>
      <c r="C570">
        <v>176.55</v>
      </c>
      <c r="D570" s="2"/>
    </row>
    <row r="571" spans="2:4" x14ac:dyDescent="0.3">
      <c r="B571" t="str">
        <v>2024-04-11</v>
      </c>
      <c r="C571">
        <v>175.04</v>
      </c>
      <c r="D571" s="2"/>
    </row>
    <row r="572" spans="2:4" x14ac:dyDescent="0.3">
      <c r="B572" t="str">
        <v>2024-04-10</v>
      </c>
      <c r="C572">
        <v>167.78</v>
      </c>
      <c r="D572" s="2"/>
    </row>
    <row r="573" spans="2:4" x14ac:dyDescent="0.3">
      <c r="B573" t="str">
        <v>2024-04-09</v>
      </c>
      <c r="C573">
        <v>169.67</v>
      </c>
      <c r="D573" s="2"/>
    </row>
    <row r="574" spans="2:4" x14ac:dyDescent="0.3">
      <c r="B574" t="str">
        <v>2024-04-08</v>
      </c>
      <c r="C574">
        <v>168.45</v>
      </c>
      <c r="D574" s="2"/>
    </row>
    <row r="575" spans="2:4" x14ac:dyDescent="0.3">
      <c r="B575" t="str">
        <v>2024-04-05</v>
      </c>
      <c r="C575">
        <v>169.58</v>
      </c>
      <c r="D575" s="2"/>
    </row>
    <row r="576" spans="2:4" x14ac:dyDescent="0.3">
      <c r="B576" t="str">
        <v>2024-04-04</v>
      </c>
      <c r="C576">
        <v>168.82</v>
      </c>
      <c r="D576" s="2"/>
    </row>
    <row r="577" spans="2:4" x14ac:dyDescent="0.3">
      <c r="B577" t="str">
        <v>2024-04-03</v>
      </c>
      <c r="C577">
        <v>169.65</v>
      </c>
      <c r="D577" s="2"/>
    </row>
    <row r="578" spans="2:4" x14ac:dyDescent="0.3">
      <c r="B578" t="str">
        <v>2024-04-02</v>
      </c>
      <c r="C578">
        <v>168.84</v>
      </c>
      <c r="D578" s="2"/>
    </row>
    <row r="579" spans="2:4" x14ac:dyDescent="0.3">
      <c r="B579" t="str">
        <v>2024-04-01</v>
      </c>
      <c r="C579">
        <v>170.03</v>
      </c>
      <c r="D579" s="2"/>
    </row>
    <row r="580" spans="2:4" x14ac:dyDescent="0.3">
      <c r="B580" t="str">
        <v>2024-03-28</v>
      </c>
      <c r="C580">
        <v>171.48</v>
      </c>
      <c r="D580" s="2"/>
    </row>
    <row r="581" spans="2:4" x14ac:dyDescent="0.3">
      <c r="B581" t="str">
        <v>2024-03-27</v>
      </c>
      <c r="C581">
        <v>173.31</v>
      </c>
      <c r="D581" s="2"/>
    </row>
    <row r="582" spans="2:4" x14ac:dyDescent="0.3">
      <c r="B582" t="str">
        <v>2024-03-26</v>
      </c>
      <c r="C582">
        <v>169.71</v>
      </c>
      <c r="D582" s="2"/>
    </row>
    <row r="583" spans="2:4" x14ac:dyDescent="0.3">
      <c r="B583" t="str">
        <v>2024-03-25</v>
      </c>
      <c r="C583">
        <v>170.85</v>
      </c>
      <c r="D583" s="2"/>
    </row>
    <row r="584" spans="2:4" x14ac:dyDescent="0.3">
      <c r="B584" t="str">
        <v>2024-03-22</v>
      </c>
      <c r="C584">
        <v>172.28</v>
      </c>
      <c r="D584" s="2"/>
    </row>
    <row r="585" spans="2:4" x14ac:dyDescent="0.3">
      <c r="B585" t="str">
        <v>2024-03-21</v>
      </c>
      <c r="C585">
        <v>171.37</v>
      </c>
      <c r="D585" s="2"/>
    </row>
    <row r="586" spans="2:4" x14ac:dyDescent="0.3">
      <c r="B586" t="str">
        <v>2024-03-20</v>
      </c>
      <c r="C586">
        <v>178.67</v>
      </c>
      <c r="D586" s="2"/>
    </row>
    <row r="587" spans="2:4" x14ac:dyDescent="0.3">
      <c r="B587" t="str">
        <v>2024-03-19</v>
      </c>
      <c r="C587">
        <v>176.08</v>
      </c>
      <c r="D587" s="2"/>
    </row>
    <row r="588" spans="2:4" x14ac:dyDescent="0.3">
      <c r="B588" t="str">
        <v>2024-03-18</v>
      </c>
      <c r="C588">
        <v>173.72</v>
      </c>
      <c r="D588" s="2"/>
    </row>
    <row r="589" spans="2:4" x14ac:dyDescent="0.3">
      <c r="B589" t="str">
        <v>2024-03-15</v>
      </c>
      <c r="C589">
        <v>172.62</v>
      </c>
      <c r="D589" s="2"/>
    </row>
    <row r="590" spans="2:4" x14ac:dyDescent="0.3">
      <c r="B590" t="str">
        <v>2024-03-14</v>
      </c>
      <c r="C590">
        <v>173</v>
      </c>
      <c r="D590" s="2"/>
    </row>
    <row r="591" spans="2:4" x14ac:dyDescent="0.3">
      <c r="B591" t="str">
        <v>2024-03-13</v>
      </c>
      <c r="C591">
        <v>171.13</v>
      </c>
      <c r="D591" s="2"/>
    </row>
    <row r="592" spans="2:4" x14ac:dyDescent="0.3">
      <c r="B592" t="str">
        <v>2024-03-12</v>
      </c>
      <c r="C592">
        <v>173.23</v>
      </c>
      <c r="D592" s="2"/>
    </row>
    <row r="593" spans="2:4" x14ac:dyDescent="0.3">
      <c r="B593" t="str">
        <v>2024-03-11</v>
      </c>
      <c r="C593">
        <v>172.75</v>
      </c>
      <c r="D593" s="2"/>
    </row>
    <row r="594" spans="2:4" x14ac:dyDescent="0.3">
      <c r="B594" t="str">
        <v>2024-03-08</v>
      </c>
      <c r="C594">
        <v>170.73</v>
      </c>
      <c r="D594" s="2"/>
    </row>
    <row r="595" spans="2:4" x14ac:dyDescent="0.3">
      <c r="B595" t="str">
        <v>2024-03-07</v>
      </c>
      <c r="C595">
        <v>169</v>
      </c>
      <c r="D595" s="2"/>
    </row>
    <row r="596" spans="2:4" x14ac:dyDescent="0.3">
      <c r="B596" t="str">
        <v>2024-03-06</v>
      </c>
      <c r="C596">
        <v>169.12</v>
      </c>
      <c r="D596" s="2"/>
    </row>
    <row r="597" spans="2:4" x14ac:dyDescent="0.3">
      <c r="B597" t="str">
        <v>2024-03-05</v>
      </c>
      <c r="C597">
        <v>170.12</v>
      </c>
      <c r="D597" s="2"/>
    </row>
    <row r="598" spans="2:4" x14ac:dyDescent="0.3">
      <c r="B598" t="str">
        <v>2024-03-04</v>
      </c>
      <c r="C598">
        <v>175.1</v>
      </c>
      <c r="D598" s="2"/>
    </row>
    <row r="599" spans="2:4" x14ac:dyDescent="0.3">
      <c r="B599" t="str">
        <v>2024-03-01</v>
      </c>
      <c r="C599">
        <v>179.66</v>
      </c>
      <c r="D599" s="2"/>
    </row>
    <row r="600" spans="2:4" x14ac:dyDescent="0.3">
      <c r="B600" t="str">
        <v>2024-02-29</v>
      </c>
      <c r="C600">
        <v>180.75</v>
      </c>
      <c r="D600" s="2"/>
    </row>
    <row r="601" spans="2:4" x14ac:dyDescent="0.3">
      <c r="B601" t="str">
        <v>2024-02-28</v>
      </c>
      <c r="C601">
        <v>181.42</v>
      </c>
      <c r="D601" s="2"/>
    </row>
    <row r="602" spans="2:4" x14ac:dyDescent="0.3">
      <c r="B602" t="str">
        <v>2024-02-27</v>
      </c>
      <c r="C602">
        <v>182.63</v>
      </c>
      <c r="D602" s="2"/>
    </row>
    <row r="603" spans="2:4" x14ac:dyDescent="0.3">
      <c r="B603" t="str">
        <v>2024-02-26</v>
      </c>
      <c r="C603">
        <v>181.16</v>
      </c>
      <c r="D603" s="2"/>
    </row>
    <row r="604" spans="2:4" x14ac:dyDescent="0.3">
      <c r="B604" t="str">
        <v>2024-02-23</v>
      </c>
      <c r="C604">
        <v>182.52</v>
      </c>
      <c r="D604" s="2"/>
    </row>
    <row r="605" spans="2:4" x14ac:dyDescent="0.3">
      <c r="B605" t="str">
        <v>2024-02-22</v>
      </c>
      <c r="C605">
        <v>184.37</v>
      </c>
      <c r="D605" s="2"/>
    </row>
    <row r="606" spans="2:4" x14ac:dyDescent="0.3">
      <c r="B606" t="str">
        <v>2024-02-21</v>
      </c>
      <c r="C606">
        <v>182.32</v>
      </c>
      <c r="D606" s="2"/>
    </row>
    <row r="607" spans="2:4" x14ac:dyDescent="0.3">
      <c r="B607" t="str">
        <v>2024-02-20</v>
      </c>
      <c r="C607">
        <v>181.56</v>
      </c>
      <c r="D607" s="2"/>
    </row>
    <row r="608" spans="2:4" x14ac:dyDescent="0.3">
      <c r="B608" t="str">
        <v>2024-02-16</v>
      </c>
      <c r="C608">
        <v>182.31</v>
      </c>
      <c r="D608" s="2"/>
    </row>
    <row r="609" spans="2:4" x14ac:dyDescent="0.3">
      <c r="B609" t="str">
        <v>2024-02-15</v>
      </c>
      <c r="C609">
        <v>183.86</v>
      </c>
      <c r="D609" s="2"/>
    </row>
    <row r="610" spans="2:4" x14ac:dyDescent="0.3">
      <c r="B610" t="str">
        <v>2024-02-14</v>
      </c>
      <c r="C610">
        <v>184.15</v>
      </c>
      <c r="D610" s="2"/>
    </row>
    <row r="611" spans="2:4" x14ac:dyDescent="0.3">
      <c r="B611" t="str">
        <v>2024-02-13</v>
      </c>
      <c r="C611">
        <v>185.04</v>
      </c>
      <c r="D611" s="2"/>
    </row>
    <row r="612" spans="2:4" x14ac:dyDescent="0.3">
      <c r="B612" t="str">
        <v>2024-02-12</v>
      </c>
      <c r="C612">
        <v>187.15</v>
      </c>
      <c r="D612" s="2"/>
    </row>
    <row r="613" spans="2:4" x14ac:dyDescent="0.3">
      <c r="B613" t="str">
        <v>2024-02-09</v>
      </c>
      <c r="C613">
        <v>188.85</v>
      </c>
      <c r="D613" s="2"/>
    </row>
    <row r="614" spans="2:4" x14ac:dyDescent="0.3">
      <c r="B614" t="str">
        <v>2024-02-08</v>
      </c>
      <c r="C614">
        <v>188.32</v>
      </c>
      <c r="D614" s="2"/>
    </row>
    <row r="615" spans="2:4" x14ac:dyDescent="0.3">
      <c r="B615" t="str">
        <v>2024-02-07</v>
      </c>
      <c r="C615">
        <v>189.41</v>
      </c>
      <c r="D615" s="2"/>
    </row>
    <row r="616" spans="2:4" x14ac:dyDescent="0.3">
      <c r="B616" t="str">
        <v>2024-02-06</v>
      </c>
      <c r="C616">
        <v>189.3</v>
      </c>
      <c r="D616" s="2"/>
    </row>
    <row r="617" spans="2:4" x14ac:dyDescent="0.3">
      <c r="B617" t="str">
        <v>2024-02-05</v>
      </c>
      <c r="C617">
        <v>187.68</v>
      </c>
      <c r="D617" s="2"/>
    </row>
    <row r="618" spans="2:4" x14ac:dyDescent="0.3">
      <c r="B618" t="str">
        <v>2024-02-02</v>
      </c>
      <c r="C618">
        <v>185.85</v>
      </c>
      <c r="D618" s="2"/>
    </row>
    <row r="619" spans="2:4" x14ac:dyDescent="0.3">
      <c r="B619" t="str">
        <v>2024-02-01</v>
      </c>
      <c r="C619">
        <v>186.86</v>
      </c>
      <c r="D619" s="2"/>
    </row>
    <row r="620" spans="2:4" x14ac:dyDescent="0.3">
      <c r="B620" t="str">
        <v>2024-01-31</v>
      </c>
      <c r="C620">
        <v>184.4</v>
      </c>
      <c r="D620" s="2"/>
    </row>
    <row r="621" spans="2:4" x14ac:dyDescent="0.3">
      <c r="B621" t="str">
        <v>2024-01-30</v>
      </c>
      <c r="C621">
        <v>188.04</v>
      </c>
      <c r="D621" s="2"/>
    </row>
    <row r="622" spans="2:4" x14ac:dyDescent="0.3">
      <c r="B622" t="str">
        <v>2024-01-29</v>
      </c>
      <c r="C622">
        <v>191.73</v>
      </c>
      <c r="D622" s="2"/>
    </row>
    <row r="623" spans="2:4" x14ac:dyDescent="0.3">
      <c r="B623" t="str">
        <v>2024-01-26</v>
      </c>
      <c r="C623">
        <v>192.42</v>
      </c>
      <c r="D623" s="2"/>
    </row>
    <row r="624" spans="2:4" x14ac:dyDescent="0.3">
      <c r="B624" t="str">
        <v>2024-01-25</v>
      </c>
      <c r="C624">
        <v>194.17</v>
      </c>
      <c r="D624" s="2"/>
    </row>
    <row r="625" spans="2:4" x14ac:dyDescent="0.3">
      <c r="B625" t="str">
        <v>2024-01-24</v>
      </c>
      <c r="C625">
        <v>194.5</v>
      </c>
      <c r="D625" s="2"/>
    </row>
    <row r="626" spans="2:4" x14ac:dyDescent="0.3">
      <c r="B626" t="str">
        <v>2024-01-23</v>
      </c>
      <c r="C626">
        <v>195.18</v>
      </c>
      <c r="D626" s="2"/>
    </row>
    <row r="627" spans="2:4" x14ac:dyDescent="0.3">
      <c r="B627" t="str">
        <v>2024-01-22</v>
      </c>
      <c r="C627">
        <v>193.89</v>
      </c>
      <c r="D627" s="2"/>
    </row>
    <row r="628" spans="2:4" x14ac:dyDescent="0.3">
      <c r="B628" t="str">
        <v>2024-01-19</v>
      </c>
      <c r="C628">
        <v>191.56</v>
      </c>
      <c r="D628" s="2"/>
    </row>
    <row r="629" spans="2:4" x14ac:dyDescent="0.3">
      <c r="B629" t="str">
        <v>2024-01-18</v>
      </c>
      <c r="C629">
        <v>188.63</v>
      </c>
      <c r="D629" s="2"/>
    </row>
    <row r="630" spans="2:4" x14ac:dyDescent="0.3">
      <c r="B630" t="str">
        <v>2024-01-17</v>
      </c>
      <c r="C630">
        <v>182.68</v>
      </c>
      <c r="D630" s="2"/>
    </row>
    <row r="631" spans="2:4" x14ac:dyDescent="0.3">
      <c r="B631" t="str">
        <v>2024-01-16</v>
      </c>
      <c r="C631">
        <v>183.63</v>
      </c>
      <c r="D631" s="2"/>
    </row>
    <row r="632" spans="2:4" x14ac:dyDescent="0.3">
      <c r="B632" t="str">
        <v>2024-01-12</v>
      </c>
      <c r="C632">
        <v>185.92</v>
      </c>
      <c r="D632" s="2"/>
    </row>
    <row r="633" spans="2:4" x14ac:dyDescent="0.3">
      <c r="B633" t="str">
        <v>2024-01-11</v>
      </c>
      <c r="C633">
        <v>185.59</v>
      </c>
      <c r="D633" s="2"/>
    </row>
    <row r="634" spans="2:4" x14ac:dyDescent="0.3">
      <c r="B634" t="str">
        <v>2024-01-10</v>
      </c>
      <c r="C634">
        <v>186.19</v>
      </c>
      <c r="D634" s="2"/>
    </row>
    <row r="635" spans="2:4" x14ac:dyDescent="0.3">
      <c r="B635" t="str">
        <v>2024-01-09</v>
      </c>
      <c r="C635">
        <v>185.14</v>
      </c>
      <c r="D635" s="2"/>
    </row>
    <row r="636" spans="2:4" x14ac:dyDescent="0.3">
      <c r="B636" t="str">
        <v>2024-01-08</v>
      </c>
      <c r="C636">
        <v>185.56</v>
      </c>
      <c r="D636" s="2"/>
    </row>
    <row r="637" spans="2:4" x14ac:dyDescent="0.3">
      <c r="B637" t="str">
        <v>2024-01-05</v>
      </c>
      <c r="C637">
        <v>181.18</v>
      </c>
      <c r="D637" s="2"/>
    </row>
    <row r="638" spans="2:4" x14ac:dyDescent="0.3">
      <c r="B638" t="str">
        <v>2024-01-04</v>
      </c>
      <c r="C638">
        <v>181.91</v>
      </c>
      <c r="D638" s="2"/>
    </row>
    <row r="639" spans="2:4" x14ac:dyDescent="0.3">
      <c r="B639" t="str">
        <v>2024-01-03</v>
      </c>
      <c r="C639">
        <v>184.25</v>
      </c>
      <c r="D639" s="2"/>
    </row>
    <row r="640" spans="2:4" x14ac:dyDescent="0.3">
      <c r="B640" t="str">
        <v>2024-01-02</v>
      </c>
      <c r="C640">
        <v>185.64</v>
      </c>
      <c r="D640" s="2"/>
    </row>
    <row r="641" spans="2:4" x14ac:dyDescent="0.3">
      <c r="B641" t="str">
        <v>2023-12-29</v>
      </c>
      <c r="C641">
        <v>192.53</v>
      </c>
      <c r="D641" s="2"/>
    </row>
    <row r="642" spans="2:4" x14ac:dyDescent="0.3">
      <c r="B642" t="str">
        <v>2023-12-28</v>
      </c>
      <c r="C642">
        <v>193.58</v>
      </c>
      <c r="D642" s="2"/>
    </row>
    <row r="643" spans="2:4" x14ac:dyDescent="0.3">
      <c r="B643" t="str">
        <v>2023-12-27</v>
      </c>
      <c r="C643">
        <v>193.15</v>
      </c>
      <c r="D643" s="2"/>
    </row>
    <row r="644" spans="2:4" x14ac:dyDescent="0.3">
      <c r="B644" t="str">
        <v>2023-12-26</v>
      </c>
      <c r="C644">
        <v>193.05</v>
      </c>
      <c r="D644" s="2"/>
    </row>
    <row r="645" spans="2:4" x14ac:dyDescent="0.3">
      <c r="B645" t="str">
        <v>2023-12-22</v>
      </c>
      <c r="C645">
        <v>193.6</v>
      </c>
      <c r="D645" s="2"/>
    </row>
    <row r="646" spans="2:4" x14ac:dyDescent="0.3">
      <c r="B646" t="str">
        <v>2023-12-21</v>
      </c>
      <c r="C646">
        <v>194.68</v>
      </c>
      <c r="D646" s="2"/>
    </row>
    <row r="647" spans="2:4" x14ac:dyDescent="0.3">
      <c r="B647" t="str">
        <v>2023-12-20</v>
      </c>
      <c r="C647">
        <v>194.83</v>
      </c>
      <c r="D647" s="2"/>
    </row>
    <row r="648" spans="2:4" x14ac:dyDescent="0.3">
      <c r="B648" t="str">
        <v>2023-12-19</v>
      </c>
      <c r="C648">
        <v>196.94</v>
      </c>
      <c r="D648" s="2"/>
    </row>
    <row r="649" spans="2:4" x14ac:dyDescent="0.3">
      <c r="B649" t="str">
        <v>2023-12-18</v>
      </c>
      <c r="C649">
        <v>195.89</v>
      </c>
      <c r="D649" s="2"/>
    </row>
    <row r="650" spans="2:4" x14ac:dyDescent="0.3">
      <c r="B650" t="str">
        <v>2023-12-15</v>
      </c>
      <c r="C650">
        <v>197.57</v>
      </c>
      <c r="D650" s="2"/>
    </row>
    <row r="651" spans="2:4" x14ac:dyDescent="0.3">
      <c r="B651" t="str">
        <v>2023-12-14</v>
      </c>
      <c r="C651">
        <v>198.11</v>
      </c>
      <c r="D651" s="2"/>
    </row>
    <row r="652" spans="2:4" x14ac:dyDescent="0.3">
      <c r="B652" t="str">
        <v>2023-12-13</v>
      </c>
      <c r="C652">
        <v>197.96</v>
      </c>
      <c r="D652" s="2"/>
    </row>
    <row r="653" spans="2:4" x14ac:dyDescent="0.3">
      <c r="B653" t="str">
        <v>2023-12-12</v>
      </c>
      <c r="C653">
        <v>194.71</v>
      </c>
      <c r="D653" s="2"/>
    </row>
    <row r="654" spans="2:4" x14ac:dyDescent="0.3">
      <c r="B654" t="str">
        <v>2023-12-11</v>
      </c>
      <c r="C654">
        <v>193.18</v>
      </c>
      <c r="D654" s="2"/>
    </row>
    <row r="655" spans="2:4" x14ac:dyDescent="0.3">
      <c r="B655" t="str">
        <v>2023-12-08</v>
      </c>
      <c r="C655">
        <v>195.71</v>
      </c>
      <c r="D655" s="2"/>
    </row>
    <row r="656" spans="2:4" x14ac:dyDescent="0.3">
      <c r="B656" t="str">
        <v>2023-12-07</v>
      </c>
      <c r="C656">
        <v>194.27</v>
      </c>
      <c r="D656" s="2"/>
    </row>
    <row r="657" spans="2:4" x14ac:dyDescent="0.3">
      <c r="B657" t="str">
        <v>2023-12-06</v>
      </c>
      <c r="C657">
        <v>192.32</v>
      </c>
      <c r="D657" s="2"/>
    </row>
    <row r="658" spans="2:4" x14ac:dyDescent="0.3">
      <c r="B658" t="str">
        <v>2023-12-05</v>
      </c>
      <c r="C658">
        <v>193.42</v>
      </c>
      <c r="D658" s="2"/>
    </row>
    <row r="659" spans="2:4" x14ac:dyDescent="0.3">
      <c r="B659" t="str">
        <v>2023-12-04</v>
      </c>
      <c r="C659">
        <v>189.43</v>
      </c>
      <c r="D659" s="2"/>
    </row>
    <row r="660" spans="2:4" x14ac:dyDescent="0.3">
      <c r="B660" t="str">
        <v>2023-12-01</v>
      </c>
      <c r="C660">
        <v>191.24</v>
      </c>
      <c r="D660" s="2"/>
    </row>
    <row r="661" spans="2:4" x14ac:dyDescent="0.3">
      <c r="B661" t="str">
        <v>2023-11-30</v>
      </c>
      <c r="C661">
        <v>189.95</v>
      </c>
      <c r="D661" s="2"/>
    </row>
    <row r="662" spans="2:4" x14ac:dyDescent="0.3">
      <c r="B662" t="str">
        <v>2023-11-29</v>
      </c>
      <c r="C662">
        <v>189.37</v>
      </c>
      <c r="D662" s="2"/>
    </row>
    <row r="663" spans="2:4" x14ac:dyDescent="0.3">
      <c r="B663" t="str">
        <v>2023-11-28</v>
      </c>
      <c r="C663">
        <v>190.4</v>
      </c>
      <c r="D663" s="2"/>
    </row>
    <row r="664" spans="2:4" x14ac:dyDescent="0.3">
      <c r="B664" t="str">
        <v>2023-11-27</v>
      </c>
      <c r="C664">
        <v>189.79</v>
      </c>
      <c r="D664" s="2"/>
    </row>
    <row r="665" spans="2:4" x14ac:dyDescent="0.3">
      <c r="B665" t="str">
        <v>2023-11-24</v>
      </c>
      <c r="C665">
        <v>189.97</v>
      </c>
      <c r="D665" s="2"/>
    </row>
    <row r="666" spans="2:4" x14ac:dyDescent="0.3">
      <c r="B666" t="str">
        <v>2023-11-22</v>
      </c>
      <c r="C666">
        <v>191.31</v>
      </c>
      <c r="D666" s="2"/>
    </row>
    <row r="667" spans="2:4" x14ac:dyDescent="0.3">
      <c r="B667" t="str">
        <v>2023-11-21</v>
      </c>
      <c r="C667">
        <v>190.64</v>
      </c>
      <c r="D667" s="2"/>
    </row>
    <row r="668" spans="2:4" x14ac:dyDescent="0.3">
      <c r="B668" t="str">
        <v>2023-11-20</v>
      </c>
      <c r="C668">
        <v>191.45</v>
      </c>
      <c r="D668" s="2"/>
    </row>
    <row r="669" spans="2:4" x14ac:dyDescent="0.3">
      <c r="B669" t="str">
        <v>2023-11-17</v>
      </c>
      <c r="C669">
        <v>189.69</v>
      </c>
      <c r="D669" s="2"/>
    </row>
    <row r="670" spans="2:4" x14ac:dyDescent="0.3">
      <c r="B670" t="str">
        <v>2023-11-16</v>
      </c>
      <c r="C670">
        <v>189.71</v>
      </c>
      <c r="D670" s="2"/>
    </row>
    <row r="671" spans="2:4" x14ac:dyDescent="0.3">
      <c r="B671" t="str">
        <v>2023-11-15</v>
      </c>
      <c r="C671">
        <v>188.01</v>
      </c>
      <c r="D671" s="2"/>
    </row>
    <row r="672" spans="2:4" x14ac:dyDescent="0.3">
      <c r="B672" t="str">
        <v>2023-11-14</v>
      </c>
      <c r="C672">
        <v>187.44</v>
      </c>
      <c r="D672" s="2"/>
    </row>
    <row r="673" spans="2:4" x14ac:dyDescent="0.3">
      <c r="B673" t="str">
        <v>2023-11-13</v>
      </c>
      <c r="C673">
        <v>184.8</v>
      </c>
      <c r="D673" s="2"/>
    </row>
    <row r="674" spans="2:4" x14ac:dyDescent="0.3">
      <c r="B674" t="str">
        <v>2023-11-10</v>
      </c>
      <c r="C674">
        <v>186.4</v>
      </c>
      <c r="D674" s="2"/>
    </row>
    <row r="675" spans="2:4" x14ac:dyDescent="0.3">
      <c r="B675" t="str">
        <v>2023-11-09</v>
      </c>
      <c r="C675">
        <v>182.41</v>
      </c>
      <c r="D675" s="2"/>
    </row>
    <row r="676" spans="2:4" x14ac:dyDescent="0.3">
      <c r="B676" t="str">
        <v>2023-11-08</v>
      </c>
      <c r="C676">
        <v>182.89</v>
      </c>
      <c r="D676" s="2"/>
    </row>
    <row r="677" spans="2:4" x14ac:dyDescent="0.3">
      <c r="B677" t="str">
        <v>2023-11-07</v>
      </c>
      <c r="C677">
        <v>181.82</v>
      </c>
      <c r="D677" s="2"/>
    </row>
    <row r="678" spans="2:4" x14ac:dyDescent="0.3">
      <c r="B678" t="str">
        <v>2023-11-06</v>
      </c>
      <c r="C678">
        <v>179.23</v>
      </c>
      <c r="D678" s="2"/>
    </row>
    <row r="679" spans="2:4" x14ac:dyDescent="0.3">
      <c r="B679" t="str">
        <v>2023-11-03</v>
      </c>
      <c r="C679">
        <v>176.65</v>
      </c>
      <c r="D679" s="2"/>
    </row>
    <row r="680" spans="2:4" x14ac:dyDescent="0.3">
      <c r="B680" t="str">
        <v>2023-11-02</v>
      </c>
      <c r="C680">
        <v>177.57</v>
      </c>
      <c r="D680" s="2"/>
    </row>
    <row r="681" spans="2:4" x14ac:dyDescent="0.3">
      <c r="B681" t="str">
        <v>2023-11-01</v>
      </c>
      <c r="C681">
        <v>173.97</v>
      </c>
      <c r="D681" s="2"/>
    </row>
    <row r="682" spans="2:4" x14ac:dyDescent="0.3">
      <c r="B682" t="str">
        <v>2023-10-31</v>
      </c>
      <c r="C682">
        <v>170.77</v>
      </c>
      <c r="D682" s="2"/>
    </row>
    <row r="683" spans="2:4" x14ac:dyDescent="0.3">
      <c r="B683" t="str">
        <v>2023-10-30</v>
      </c>
      <c r="C683">
        <v>170.29</v>
      </c>
      <c r="D683" s="2"/>
    </row>
    <row r="684" spans="2:4" x14ac:dyDescent="0.3">
      <c r="B684" t="str">
        <v>2023-10-27</v>
      </c>
      <c r="C684">
        <v>168.22</v>
      </c>
      <c r="D684" s="2"/>
    </row>
    <row r="685" spans="2:4" x14ac:dyDescent="0.3">
      <c r="B685" t="str">
        <v>2023-10-26</v>
      </c>
      <c r="C685">
        <v>166.89</v>
      </c>
      <c r="D685" s="2"/>
    </row>
    <row r="686" spans="2:4" x14ac:dyDescent="0.3">
      <c r="B686" t="str">
        <v>2023-10-25</v>
      </c>
      <c r="C686">
        <v>171.1</v>
      </c>
      <c r="D686" s="2"/>
    </row>
    <row r="687" spans="2:4" x14ac:dyDescent="0.3">
      <c r="B687" t="str">
        <v>2023-10-24</v>
      </c>
      <c r="C687">
        <v>173.44</v>
      </c>
      <c r="D687" s="2"/>
    </row>
    <row r="688" spans="2:4" x14ac:dyDescent="0.3">
      <c r="B688" t="str">
        <v>2023-10-23</v>
      </c>
      <c r="C688">
        <v>173</v>
      </c>
      <c r="D688" s="2"/>
    </row>
    <row r="689" spans="2:4" x14ac:dyDescent="0.3">
      <c r="B689" t="str">
        <v>2023-10-20</v>
      </c>
      <c r="C689">
        <v>172.88</v>
      </c>
      <c r="D689" s="2"/>
    </row>
    <row r="690" spans="2:4" x14ac:dyDescent="0.3">
      <c r="B690" t="str">
        <v>2023-10-19</v>
      </c>
      <c r="C690">
        <v>175.46</v>
      </c>
      <c r="D690" s="2"/>
    </row>
    <row r="691" spans="2:4" x14ac:dyDescent="0.3">
      <c r="B691" t="str">
        <v>2023-10-18</v>
      </c>
      <c r="C691">
        <v>175.84</v>
      </c>
      <c r="D691" s="2"/>
    </row>
    <row r="692" spans="2:4" x14ac:dyDescent="0.3">
      <c r="B692" t="str">
        <v>2023-10-17</v>
      </c>
      <c r="C692">
        <v>177.15</v>
      </c>
      <c r="D692" s="2"/>
    </row>
    <row r="693" spans="2:4" x14ac:dyDescent="0.3">
      <c r="B693" t="str">
        <v>2023-10-16</v>
      </c>
      <c r="C693">
        <v>178.72</v>
      </c>
      <c r="D693" s="2"/>
    </row>
    <row r="694" spans="2:4" x14ac:dyDescent="0.3">
      <c r="B694" t="str">
        <v>2023-10-13</v>
      </c>
      <c r="C694">
        <v>178.85</v>
      </c>
      <c r="D694" s="2"/>
    </row>
    <row r="695" spans="2:4" x14ac:dyDescent="0.3">
      <c r="B695" t="str">
        <v>2023-10-12</v>
      </c>
      <c r="C695">
        <v>180.71</v>
      </c>
      <c r="D695" s="2"/>
    </row>
    <row r="696" spans="2:4" x14ac:dyDescent="0.3">
      <c r="B696" t="str">
        <v>2023-10-11</v>
      </c>
      <c r="C696">
        <v>179.8</v>
      </c>
      <c r="D696" s="2"/>
    </row>
    <row r="697" spans="2:4" x14ac:dyDescent="0.3">
      <c r="B697" t="str">
        <v>2023-10-10</v>
      </c>
      <c r="C697">
        <v>178.39</v>
      </c>
      <c r="D697" s="2"/>
    </row>
    <row r="698" spans="2:4" x14ac:dyDescent="0.3">
      <c r="B698" t="str">
        <v>2023-10-09</v>
      </c>
      <c r="C698">
        <v>178.99</v>
      </c>
      <c r="D698" s="2"/>
    </row>
    <row r="699" spans="2:4" x14ac:dyDescent="0.3">
      <c r="B699" t="str">
        <v>2023-10-06</v>
      </c>
      <c r="C699">
        <v>177.49</v>
      </c>
      <c r="D699" s="2"/>
    </row>
    <row r="700" spans="2:4" x14ac:dyDescent="0.3">
      <c r="B700" t="str">
        <v>2023-10-05</v>
      </c>
      <c r="C700">
        <v>174.91</v>
      </c>
      <c r="D700" s="2"/>
    </row>
    <row r="701" spans="2:4" x14ac:dyDescent="0.3">
      <c r="B701" t="str">
        <v>2023-10-04</v>
      </c>
      <c r="C701">
        <v>173.66</v>
      </c>
      <c r="D701" s="2"/>
    </row>
    <row r="702" spans="2:4" x14ac:dyDescent="0.3">
      <c r="B702" t="str">
        <v>2023-10-03</v>
      </c>
      <c r="C702">
        <v>172.4</v>
      </c>
      <c r="D702" s="2"/>
    </row>
    <row r="703" spans="2:4" x14ac:dyDescent="0.3">
      <c r="B703" t="str">
        <v>2023-10-02</v>
      </c>
      <c r="C703">
        <v>173.75</v>
      </c>
      <c r="D703" s="2"/>
    </row>
    <row r="704" spans="2:4" x14ac:dyDescent="0.3">
      <c r="B704" t="str">
        <v>2023-09-29</v>
      </c>
      <c r="C704">
        <v>171.21</v>
      </c>
      <c r="D704" s="2"/>
    </row>
    <row r="705" spans="2:4" x14ac:dyDescent="0.3">
      <c r="B705" t="str">
        <v>2023-09-28</v>
      </c>
      <c r="C705">
        <v>170.69</v>
      </c>
      <c r="D705" s="2"/>
    </row>
    <row r="706" spans="2:4" x14ac:dyDescent="0.3">
      <c r="B706" t="str">
        <v>2023-09-27</v>
      </c>
      <c r="C706">
        <v>170.43</v>
      </c>
      <c r="D706" s="2"/>
    </row>
    <row r="707" spans="2:4" x14ac:dyDescent="0.3">
      <c r="B707" t="str">
        <v>2023-09-26</v>
      </c>
      <c r="C707">
        <v>171.96</v>
      </c>
      <c r="D707" s="2"/>
    </row>
    <row r="708" spans="2:4" x14ac:dyDescent="0.3">
      <c r="B708" t="str">
        <v>2023-09-25</v>
      </c>
      <c r="C708">
        <v>176.08</v>
      </c>
      <c r="D708" s="2"/>
    </row>
    <row r="709" spans="2:4" x14ac:dyDescent="0.3">
      <c r="B709" t="str">
        <v>2023-09-22</v>
      </c>
      <c r="C709">
        <v>174.79</v>
      </c>
      <c r="D709" s="2"/>
    </row>
    <row r="710" spans="2:4" x14ac:dyDescent="0.3">
      <c r="B710" t="str">
        <v>2023-09-21</v>
      </c>
      <c r="C710">
        <v>173.93</v>
      </c>
      <c r="D710" s="2"/>
    </row>
    <row r="711" spans="2:4" x14ac:dyDescent="0.3">
      <c r="B711" t="str">
        <v>2023-09-20</v>
      </c>
      <c r="C711">
        <v>175.49</v>
      </c>
      <c r="D711" s="2"/>
    </row>
    <row r="712" spans="2:4" x14ac:dyDescent="0.3">
      <c r="B712" t="str">
        <v>2023-09-19</v>
      </c>
      <c r="C712">
        <v>179.07</v>
      </c>
      <c r="D712" s="2"/>
    </row>
    <row r="713" spans="2:4" x14ac:dyDescent="0.3">
      <c r="B713" t="str">
        <v>2023-09-18</v>
      </c>
      <c r="C713">
        <v>177.97</v>
      </c>
      <c r="D713" s="2"/>
    </row>
    <row r="714" spans="2:4" x14ac:dyDescent="0.3">
      <c r="B714" t="str">
        <v>2023-09-15</v>
      </c>
      <c r="C714">
        <v>175.01</v>
      </c>
      <c r="D714" s="2"/>
    </row>
    <row r="715" spans="2:4" x14ac:dyDescent="0.3">
      <c r="B715" t="str">
        <v>2023-09-14</v>
      </c>
      <c r="C715">
        <v>175.74</v>
      </c>
      <c r="D715" s="2"/>
    </row>
    <row r="716" spans="2:4" x14ac:dyDescent="0.3">
      <c r="B716" t="str">
        <v>2023-09-13</v>
      </c>
      <c r="C716">
        <v>174.21</v>
      </c>
      <c r="D716" s="2"/>
    </row>
    <row r="717" spans="2:4" x14ac:dyDescent="0.3">
      <c r="B717" t="str">
        <v>2023-09-12</v>
      </c>
      <c r="C717">
        <v>176.3</v>
      </c>
      <c r="D717" s="2"/>
    </row>
    <row r="718" spans="2:4" x14ac:dyDescent="0.3">
      <c r="B718" t="str">
        <v>2023-09-11</v>
      </c>
      <c r="C718">
        <v>179.36</v>
      </c>
      <c r="D718" s="2"/>
    </row>
    <row r="719" spans="2:4" x14ac:dyDescent="0.3">
      <c r="B719" t="str">
        <v>2023-09-08</v>
      </c>
      <c r="C719">
        <v>178.18</v>
      </c>
      <c r="D719" s="2"/>
    </row>
    <row r="720" spans="2:4" x14ac:dyDescent="0.3">
      <c r="B720" t="str">
        <v>2023-09-07</v>
      </c>
      <c r="C720">
        <v>177.56</v>
      </c>
      <c r="D720" s="2"/>
    </row>
    <row r="721" spans="2:4" x14ac:dyDescent="0.3">
      <c r="B721" t="str">
        <v>2023-09-06</v>
      </c>
      <c r="C721">
        <v>182.91</v>
      </c>
      <c r="D721" s="2"/>
    </row>
    <row r="722" spans="2:4" x14ac:dyDescent="0.3">
      <c r="B722" t="str">
        <v>2023-09-05</v>
      </c>
      <c r="C722">
        <v>189.7</v>
      </c>
      <c r="D722" s="2"/>
    </row>
    <row r="723" spans="2:4" x14ac:dyDescent="0.3">
      <c r="B723" t="str">
        <v>2023-09-01</v>
      </c>
      <c r="C723">
        <v>189.46</v>
      </c>
      <c r="D723" s="2"/>
    </row>
    <row r="724" spans="2:4" x14ac:dyDescent="0.3">
      <c r="B724" t="str">
        <v>2023-08-31</v>
      </c>
      <c r="C724">
        <v>187.87</v>
      </c>
      <c r="D724" s="2"/>
    </row>
    <row r="725" spans="2:4" x14ac:dyDescent="0.3">
      <c r="B725" t="str">
        <v>2023-08-30</v>
      </c>
      <c r="C725">
        <v>187.65</v>
      </c>
      <c r="D725" s="2"/>
    </row>
    <row r="726" spans="2:4" x14ac:dyDescent="0.3">
      <c r="B726" t="str">
        <v>2023-08-29</v>
      </c>
      <c r="C726">
        <v>184.12</v>
      </c>
      <c r="D726" s="2"/>
    </row>
    <row r="727" spans="2:4" x14ac:dyDescent="0.3">
      <c r="B727" t="str">
        <v>2023-08-28</v>
      </c>
      <c r="C727">
        <v>180.19</v>
      </c>
      <c r="D727" s="2"/>
    </row>
    <row r="728" spans="2:4" x14ac:dyDescent="0.3">
      <c r="B728" t="str">
        <v>2023-08-25</v>
      </c>
      <c r="C728">
        <v>178.61</v>
      </c>
      <c r="D728" s="2"/>
    </row>
    <row r="729" spans="2:4" x14ac:dyDescent="0.3">
      <c r="B729" t="str">
        <v>2023-08-24</v>
      </c>
      <c r="C729">
        <v>176.38</v>
      </c>
      <c r="D729" s="2"/>
    </row>
    <row r="730" spans="2:4" x14ac:dyDescent="0.3">
      <c r="B730" t="str">
        <v>2023-08-23</v>
      </c>
      <c r="C730">
        <v>181.12</v>
      </c>
      <c r="D730" s="2"/>
    </row>
    <row r="731" spans="2:4" x14ac:dyDescent="0.3">
      <c r="B731" t="str">
        <v>2023-08-22</v>
      </c>
      <c r="C731">
        <v>177.23</v>
      </c>
      <c r="D731" s="2"/>
    </row>
    <row r="732" spans="2:4" x14ac:dyDescent="0.3">
      <c r="B732" t="str">
        <v>2023-08-21</v>
      </c>
      <c r="C732">
        <v>175.84</v>
      </c>
      <c r="D732" s="2"/>
    </row>
    <row r="733" spans="2:4" x14ac:dyDescent="0.3">
      <c r="B733" t="str">
        <v>2023-08-18</v>
      </c>
      <c r="C733">
        <v>174.49</v>
      </c>
      <c r="D733" s="2"/>
    </row>
    <row r="734" spans="2:4" x14ac:dyDescent="0.3">
      <c r="B734" t="str">
        <v>2023-08-17</v>
      </c>
      <c r="C734">
        <v>174</v>
      </c>
      <c r="D734" s="2"/>
    </row>
    <row r="735" spans="2:4" x14ac:dyDescent="0.3">
      <c r="B735" t="str">
        <v>2023-08-16</v>
      </c>
      <c r="C735">
        <v>176.57</v>
      </c>
      <c r="D735" s="2"/>
    </row>
    <row r="736" spans="2:4" x14ac:dyDescent="0.3">
      <c r="B736" t="str">
        <v>2023-08-15</v>
      </c>
      <c r="C736">
        <v>177.45</v>
      </c>
      <c r="D736" s="2"/>
    </row>
    <row r="737" spans="2:4" x14ac:dyDescent="0.3">
      <c r="B737" t="str">
        <v>2023-08-14</v>
      </c>
      <c r="C737">
        <v>179.46</v>
      </c>
      <c r="D737" s="2"/>
    </row>
    <row r="738" spans="2:4" x14ac:dyDescent="0.3">
      <c r="B738" t="str">
        <v>2023-08-11</v>
      </c>
      <c r="C738">
        <v>177.79</v>
      </c>
      <c r="D738" s="2"/>
    </row>
    <row r="739" spans="2:4" x14ac:dyDescent="0.3">
      <c r="B739" t="str">
        <v>2023-08-10</v>
      </c>
      <c r="C739">
        <v>177.97</v>
      </c>
      <c r="D739" s="2"/>
    </row>
    <row r="740" spans="2:4" x14ac:dyDescent="0.3">
      <c r="B740" t="str">
        <v>2023-08-09</v>
      </c>
      <c r="C740">
        <v>178.19</v>
      </c>
      <c r="D740" s="2"/>
    </row>
    <row r="741" spans="2:4" x14ac:dyDescent="0.3">
      <c r="B741" t="str">
        <v>2023-08-08</v>
      </c>
      <c r="C741">
        <v>179.8</v>
      </c>
      <c r="D741" s="2"/>
    </row>
    <row r="742" spans="2:4" x14ac:dyDescent="0.3">
      <c r="B742" t="str">
        <v>2023-08-07</v>
      </c>
      <c r="C742">
        <v>178.85</v>
      </c>
      <c r="D742" s="2"/>
    </row>
    <row r="743" spans="2:4" x14ac:dyDescent="0.3">
      <c r="B743" t="str">
        <v>2023-08-04</v>
      </c>
      <c r="C743">
        <v>181.99</v>
      </c>
      <c r="D743" s="2"/>
    </row>
    <row r="744" spans="2:4" x14ac:dyDescent="0.3">
      <c r="B744" t="str">
        <v>2023-08-03</v>
      </c>
      <c r="C744">
        <v>191.17</v>
      </c>
      <c r="D744" s="2"/>
    </row>
    <row r="745" spans="2:4" x14ac:dyDescent="0.3">
      <c r="B745" t="str">
        <v>2023-08-02</v>
      </c>
      <c r="C745">
        <v>192.58</v>
      </c>
      <c r="D745" s="2"/>
    </row>
    <row r="746" spans="2:4" x14ac:dyDescent="0.3">
      <c r="B746" t="str">
        <v>2023-08-01</v>
      </c>
      <c r="C746">
        <v>195.61</v>
      </c>
      <c r="D746" s="2"/>
    </row>
    <row r="747" spans="2:4" x14ac:dyDescent="0.3">
      <c r="B747" t="str">
        <v>2023-07-31</v>
      </c>
      <c r="C747">
        <v>196.45</v>
      </c>
      <c r="D747" s="2"/>
    </row>
    <row r="748" spans="2:4" x14ac:dyDescent="0.3">
      <c r="B748" t="str">
        <v>2023-07-28</v>
      </c>
      <c r="C748">
        <v>195.83</v>
      </c>
      <c r="D748" s="2"/>
    </row>
    <row r="749" spans="2:4" x14ac:dyDescent="0.3">
      <c r="B749" t="str">
        <v>2023-07-27</v>
      </c>
      <c r="C749">
        <v>193.22</v>
      </c>
      <c r="D749" s="2"/>
    </row>
    <row r="750" spans="2:4" x14ac:dyDescent="0.3">
      <c r="B750" t="str">
        <v>2023-07-26</v>
      </c>
      <c r="C750">
        <v>194.5</v>
      </c>
      <c r="D750" s="2"/>
    </row>
    <row r="751" spans="2:4" x14ac:dyDescent="0.3">
      <c r="B751" t="str">
        <v>2023-07-25</v>
      </c>
      <c r="C751">
        <v>193.62</v>
      </c>
      <c r="D751" s="2"/>
    </row>
    <row r="752" spans="2:4" x14ac:dyDescent="0.3">
      <c r="B752" t="str">
        <v>2023-07-24</v>
      </c>
      <c r="C752">
        <v>192.75</v>
      </c>
      <c r="D752" s="2"/>
    </row>
    <row r="753" spans="2:4" x14ac:dyDescent="0.3">
      <c r="B753" t="str">
        <v>2023-07-21</v>
      </c>
      <c r="C753">
        <v>191.94</v>
      </c>
      <c r="D753" s="2"/>
    </row>
    <row r="754" spans="2:4" x14ac:dyDescent="0.3">
      <c r="B754" t="str">
        <v>2023-07-20</v>
      </c>
      <c r="C754">
        <v>193.13</v>
      </c>
      <c r="D754" s="2"/>
    </row>
    <row r="755" spans="2:4" x14ac:dyDescent="0.3">
      <c r="B755" t="str">
        <v>2023-07-19</v>
      </c>
      <c r="C755">
        <v>195.1</v>
      </c>
      <c r="D755" s="2"/>
    </row>
    <row r="756" spans="2:4" x14ac:dyDescent="0.3">
      <c r="B756" t="str">
        <v>2023-07-18</v>
      </c>
      <c r="C756">
        <v>193.73</v>
      </c>
      <c r="D756" s="2"/>
    </row>
    <row r="757" spans="2:4" x14ac:dyDescent="0.3">
      <c r="B757" t="str">
        <v>2023-07-17</v>
      </c>
      <c r="C757">
        <v>193.99</v>
      </c>
      <c r="D757" s="2"/>
    </row>
    <row r="758" spans="2:4" x14ac:dyDescent="0.3">
      <c r="B758" t="str">
        <v>2023-07-14</v>
      </c>
      <c r="C758">
        <v>190.69</v>
      </c>
      <c r="D758" s="2"/>
    </row>
    <row r="759" spans="2:4" x14ac:dyDescent="0.3">
      <c r="B759" t="str">
        <v>2023-07-13</v>
      </c>
      <c r="C759">
        <v>190.54</v>
      </c>
      <c r="D759" s="2"/>
    </row>
    <row r="760" spans="2:4" x14ac:dyDescent="0.3">
      <c r="B760" t="str">
        <v>2023-07-12</v>
      </c>
      <c r="C760">
        <v>189.77</v>
      </c>
      <c r="D760" s="2"/>
    </row>
    <row r="761" spans="2:4" x14ac:dyDescent="0.3">
      <c r="B761" t="str">
        <v>2023-07-11</v>
      </c>
      <c r="C761">
        <v>188.08</v>
      </c>
      <c r="D761" s="2"/>
    </row>
    <row r="762" spans="2:4" x14ac:dyDescent="0.3">
      <c r="B762" t="str">
        <v>2023-07-10</v>
      </c>
      <c r="C762">
        <v>188.61</v>
      </c>
      <c r="D762" s="2"/>
    </row>
    <row r="763" spans="2:4" x14ac:dyDescent="0.3">
      <c r="B763" t="str">
        <v>2023-07-07</v>
      </c>
      <c r="C763">
        <v>190.68</v>
      </c>
      <c r="D763" s="2"/>
    </row>
    <row r="764" spans="2:4" x14ac:dyDescent="0.3">
      <c r="B764" t="str">
        <v>2023-07-06</v>
      </c>
      <c r="C764">
        <v>191.81</v>
      </c>
      <c r="D764" s="2"/>
    </row>
    <row r="765" spans="2:4" x14ac:dyDescent="0.3">
      <c r="B765" t="str">
        <v>2023-07-05</v>
      </c>
      <c r="C765">
        <v>191.33</v>
      </c>
      <c r="D765" s="2"/>
    </row>
    <row r="766" spans="2:4" x14ac:dyDescent="0.3">
      <c r="B766" t="str">
        <v>2023-07-03</v>
      </c>
      <c r="C766">
        <v>192.46</v>
      </c>
      <c r="D766" s="2"/>
    </row>
    <row r="767" spans="2:4" x14ac:dyDescent="0.3">
      <c r="B767" t="str">
        <v>2023-06-30</v>
      </c>
      <c r="C767">
        <v>193.97</v>
      </c>
      <c r="D767" s="2"/>
    </row>
    <row r="768" spans="2:4" x14ac:dyDescent="0.3">
      <c r="B768" t="str">
        <v>2023-06-29</v>
      </c>
      <c r="C768">
        <v>189.59</v>
      </c>
      <c r="D768" s="2"/>
    </row>
    <row r="769" spans="2:4" x14ac:dyDescent="0.3">
      <c r="B769" t="str">
        <v>2023-06-28</v>
      </c>
      <c r="C769">
        <v>189.25</v>
      </c>
      <c r="D769" s="2"/>
    </row>
    <row r="770" spans="2:4" x14ac:dyDescent="0.3">
      <c r="B770" t="str">
        <v>2023-06-27</v>
      </c>
      <c r="C770">
        <v>188.06</v>
      </c>
      <c r="D770" s="2"/>
    </row>
    <row r="771" spans="2:4" x14ac:dyDescent="0.3">
      <c r="B771" t="str">
        <v>2023-06-26</v>
      </c>
      <c r="C771">
        <v>185.27</v>
      </c>
      <c r="D771" s="2"/>
    </row>
    <row r="772" spans="2:4" x14ac:dyDescent="0.3">
      <c r="B772" t="str">
        <v>2023-06-23</v>
      </c>
      <c r="C772">
        <v>186.68</v>
      </c>
      <c r="D772" s="2"/>
    </row>
    <row r="773" spans="2:4" x14ac:dyDescent="0.3">
      <c r="B773" t="str">
        <v>2023-06-22</v>
      </c>
      <c r="C773">
        <v>187</v>
      </c>
      <c r="D773" s="2"/>
    </row>
    <row r="774" spans="2:4" x14ac:dyDescent="0.3">
      <c r="B774" t="str">
        <v>2023-06-21</v>
      </c>
      <c r="C774">
        <v>183.96</v>
      </c>
      <c r="D774" s="2"/>
    </row>
    <row r="775" spans="2:4" x14ac:dyDescent="0.3">
      <c r="B775" t="str">
        <v>2023-06-20</v>
      </c>
      <c r="C775">
        <v>185.01</v>
      </c>
      <c r="D775" s="2"/>
    </row>
    <row r="776" spans="2:4" x14ac:dyDescent="0.3">
      <c r="B776" t="str">
        <v>2023-06-16</v>
      </c>
      <c r="C776">
        <v>184.92</v>
      </c>
      <c r="D776" s="2"/>
    </row>
    <row r="777" spans="2:4" x14ac:dyDescent="0.3">
      <c r="B777" t="str">
        <v>2023-06-15</v>
      </c>
      <c r="C777">
        <v>186.01</v>
      </c>
      <c r="D777" s="2"/>
    </row>
    <row r="778" spans="2:4" x14ac:dyDescent="0.3">
      <c r="B778" t="str">
        <v>2023-06-14</v>
      </c>
      <c r="C778">
        <v>183.95</v>
      </c>
      <c r="D778" s="2"/>
    </row>
    <row r="779" spans="2:4" x14ac:dyDescent="0.3">
      <c r="B779" t="str">
        <v>2023-06-13</v>
      </c>
      <c r="C779">
        <v>183.31</v>
      </c>
      <c r="D779" s="2"/>
    </row>
    <row r="780" spans="2:4" x14ac:dyDescent="0.3">
      <c r="B780" t="str">
        <v>2023-06-12</v>
      </c>
      <c r="C780">
        <v>183.79</v>
      </c>
      <c r="D780" s="2"/>
    </row>
    <row r="781" spans="2:4" x14ac:dyDescent="0.3">
      <c r="B781" t="str">
        <v>2023-06-09</v>
      </c>
      <c r="C781">
        <v>180.96</v>
      </c>
      <c r="D781" s="2"/>
    </row>
    <row r="782" spans="2:4" x14ac:dyDescent="0.3">
      <c r="B782" t="str">
        <v>2023-06-08</v>
      </c>
      <c r="C782">
        <v>180.57</v>
      </c>
      <c r="D782" s="2"/>
    </row>
    <row r="783" spans="2:4" x14ac:dyDescent="0.3">
      <c r="B783" t="str">
        <v>2023-06-07</v>
      </c>
      <c r="C783">
        <v>177.82</v>
      </c>
      <c r="D783" s="2"/>
    </row>
    <row r="784" spans="2:4" x14ac:dyDescent="0.3">
      <c r="B784" t="str">
        <v>2023-06-06</v>
      </c>
      <c r="C784">
        <v>179.21</v>
      </c>
      <c r="D784" s="2"/>
    </row>
    <row r="785" spans="2:4" x14ac:dyDescent="0.3">
      <c r="B785" t="str">
        <v>2023-06-05</v>
      </c>
      <c r="C785">
        <v>179.58</v>
      </c>
      <c r="D785" s="2"/>
    </row>
    <row r="786" spans="2:4" x14ac:dyDescent="0.3">
      <c r="B786" t="str">
        <v>2023-06-02</v>
      </c>
      <c r="C786">
        <v>180.95</v>
      </c>
      <c r="D786" s="2"/>
    </row>
    <row r="787" spans="2:4" x14ac:dyDescent="0.3">
      <c r="B787" t="str">
        <v>2023-06-01</v>
      </c>
      <c r="C787">
        <v>180.09</v>
      </c>
      <c r="D787" s="2"/>
    </row>
    <row r="788" spans="2:4" x14ac:dyDescent="0.3">
      <c r="B788" t="str">
        <v>2023-05-31</v>
      </c>
      <c r="C788">
        <v>177.25</v>
      </c>
      <c r="D788" s="2"/>
    </row>
    <row r="789" spans="2:4" x14ac:dyDescent="0.3">
      <c r="B789" t="str">
        <v>2023-05-30</v>
      </c>
      <c r="C789">
        <v>177.3</v>
      </c>
      <c r="D789" s="2"/>
    </row>
    <row r="790" spans="2:4" x14ac:dyDescent="0.3">
      <c r="B790" t="str">
        <v>2023-05-26</v>
      </c>
      <c r="C790">
        <v>175.43</v>
      </c>
      <c r="D790" s="2"/>
    </row>
    <row r="791" spans="2:4" x14ac:dyDescent="0.3">
      <c r="B791" t="str">
        <v>2023-05-25</v>
      </c>
      <c r="C791">
        <v>172.99</v>
      </c>
      <c r="D791" s="2"/>
    </row>
    <row r="792" spans="2:4" x14ac:dyDescent="0.3">
      <c r="B792" t="str">
        <v>2023-05-24</v>
      </c>
      <c r="C792">
        <v>171.84</v>
      </c>
      <c r="D792" s="2"/>
    </row>
    <row r="793" spans="2:4" x14ac:dyDescent="0.3">
      <c r="B793" t="str">
        <v>2023-05-23</v>
      </c>
      <c r="C793">
        <v>171.56</v>
      </c>
      <c r="D793" s="2"/>
    </row>
    <row r="794" spans="2:4" x14ac:dyDescent="0.3">
      <c r="B794" t="str">
        <v>2023-05-22</v>
      </c>
      <c r="C794">
        <v>174.2</v>
      </c>
      <c r="D794" s="2"/>
    </row>
    <row r="795" spans="2:4" x14ac:dyDescent="0.3">
      <c r="B795" t="str">
        <v>2023-05-19</v>
      </c>
      <c r="C795">
        <v>175.16</v>
      </c>
      <c r="D795" s="2"/>
    </row>
    <row r="796" spans="2:4" x14ac:dyDescent="0.3">
      <c r="B796" t="str">
        <v>2023-05-18</v>
      </c>
      <c r="C796">
        <v>175.05</v>
      </c>
      <c r="D796" s="2"/>
    </row>
    <row r="797" spans="2:4" x14ac:dyDescent="0.3">
      <c r="B797" t="str">
        <v>2023-05-17</v>
      </c>
      <c r="C797">
        <v>172.69</v>
      </c>
      <c r="D797" s="2"/>
    </row>
    <row r="798" spans="2:4" x14ac:dyDescent="0.3">
      <c r="B798" t="str">
        <v>2023-05-16</v>
      </c>
      <c r="C798">
        <v>172.07</v>
      </c>
      <c r="D798" s="2"/>
    </row>
    <row r="799" spans="2:4" x14ac:dyDescent="0.3">
      <c r="B799" t="str">
        <v>2023-05-15</v>
      </c>
      <c r="C799">
        <v>172.07</v>
      </c>
      <c r="D799" s="2"/>
    </row>
    <row r="800" spans="2:4" x14ac:dyDescent="0.3">
      <c r="B800" t="str">
        <v>2023-05-12</v>
      </c>
      <c r="C800">
        <v>172.57</v>
      </c>
      <c r="D800" s="2"/>
    </row>
    <row r="801" spans="2:4" x14ac:dyDescent="0.3">
      <c r="B801" t="str">
        <v>2023-05-11</v>
      </c>
      <c r="C801">
        <v>173.75</v>
      </c>
      <c r="D801" s="2"/>
    </row>
    <row r="802" spans="2:4" x14ac:dyDescent="0.3">
      <c r="B802" t="str">
        <v>2023-05-10</v>
      </c>
      <c r="C802">
        <v>173.56</v>
      </c>
      <c r="D802" s="2"/>
    </row>
    <row r="803" spans="2:4" x14ac:dyDescent="0.3">
      <c r="B803" t="str">
        <v>2023-05-09</v>
      </c>
      <c r="C803">
        <v>171.77</v>
      </c>
      <c r="D803" s="2"/>
    </row>
    <row r="804" spans="2:4" x14ac:dyDescent="0.3">
      <c r="B804" t="str">
        <v>2023-05-08</v>
      </c>
      <c r="C804">
        <v>173.5</v>
      </c>
      <c r="D804" s="2"/>
    </row>
    <row r="805" spans="2:4" x14ac:dyDescent="0.3">
      <c r="B805" t="str">
        <v>2023-05-05</v>
      </c>
      <c r="C805">
        <v>173.57</v>
      </c>
      <c r="D805" s="2"/>
    </row>
    <row r="806" spans="2:4" x14ac:dyDescent="0.3">
      <c r="B806" t="str">
        <v>2023-05-04</v>
      </c>
      <c r="C806">
        <v>165.79</v>
      </c>
      <c r="D806" s="2"/>
    </row>
    <row r="807" spans="2:4" x14ac:dyDescent="0.3">
      <c r="B807" t="str">
        <v>2023-05-03</v>
      </c>
      <c r="C807">
        <v>167.45</v>
      </c>
      <c r="D807" s="2"/>
    </row>
    <row r="808" spans="2:4" x14ac:dyDescent="0.3">
      <c r="B808" t="str">
        <v>2023-05-02</v>
      </c>
      <c r="C808">
        <v>168.54</v>
      </c>
      <c r="D808" s="2"/>
    </row>
    <row r="809" spans="2:4" x14ac:dyDescent="0.3">
      <c r="B809" t="str">
        <v>2023-05-01</v>
      </c>
      <c r="C809">
        <v>169.59</v>
      </c>
      <c r="D809" s="2"/>
    </row>
    <row r="810" spans="2:4" x14ac:dyDescent="0.3">
      <c r="B810" t="str">
        <v>2023-04-28</v>
      </c>
      <c r="C810">
        <v>169.68</v>
      </c>
      <c r="D810" s="2"/>
    </row>
    <row r="811" spans="2:4" x14ac:dyDescent="0.3">
      <c r="B811" t="str">
        <v>2023-04-27</v>
      </c>
      <c r="C811">
        <v>168.41</v>
      </c>
      <c r="D811" s="2"/>
    </row>
    <row r="812" spans="2:4" x14ac:dyDescent="0.3">
      <c r="B812" t="str">
        <v>2023-04-26</v>
      </c>
      <c r="C812">
        <v>163.76</v>
      </c>
      <c r="D812" s="2"/>
    </row>
    <row r="813" spans="2:4" x14ac:dyDescent="0.3">
      <c r="B813" t="str">
        <v>2023-04-25</v>
      </c>
      <c r="C813">
        <v>163.77000000000001</v>
      </c>
      <c r="D813" s="2"/>
    </row>
    <row r="814" spans="2:4" x14ac:dyDescent="0.3">
      <c r="B814" t="str">
        <v>2023-04-24</v>
      </c>
      <c r="C814">
        <v>165.33</v>
      </c>
      <c r="D814" s="2"/>
    </row>
    <row r="815" spans="2:4" x14ac:dyDescent="0.3">
      <c r="B815" t="str">
        <v>2023-04-21</v>
      </c>
      <c r="C815">
        <v>165.02</v>
      </c>
      <c r="D815" s="2"/>
    </row>
    <row r="816" spans="2:4" x14ac:dyDescent="0.3">
      <c r="B816" t="str">
        <v>2023-04-20</v>
      </c>
      <c r="C816">
        <v>166.65</v>
      </c>
      <c r="D816" s="2"/>
    </row>
    <row r="817" spans="2:4" x14ac:dyDescent="0.3">
      <c r="B817" t="str">
        <v>2023-04-19</v>
      </c>
      <c r="C817">
        <v>167.63</v>
      </c>
      <c r="D817" s="2"/>
    </row>
    <row r="818" spans="2:4" x14ac:dyDescent="0.3">
      <c r="B818" t="str">
        <v>2023-04-18</v>
      </c>
      <c r="C818">
        <v>166.47</v>
      </c>
      <c r="D818" s="2"/>
    </row>
    <row r="819" spans="2:4" x14ac:dyDescent="0.3">
      <c r="B819" t="str">
        <v>2023-04-17</v>
      </c>
      <c r="C819">
        <v>165.23</v>
      </c>
      <c r="D819" s="2"/>
    </row>
    <row r="820" spans="2:4" x14ac:dyDescent="0.3">
      <c r="B820" t="str">
        <v>2023-04-14</v>
      </c>
      <c r="C820">
        <v>165.21</v>
      </c>
      <c r="D820" s="2"/>
    </row>
    <row r="821" spans="2:4" x14ac:dyDescent="0.3">
      <c r="B821" t="str">
        <v>2023-04-13</v>
      </c>
      <c r="C821">
        <v>165.56</v>
      </c>
      <c r="D821" s="2"/>
    </row>
    <row r="822" spans="2:4" x14ac:dyDescent="0.3">
      <c r="B822" t="str">
        <v>2023-04-12</v>
      </c>
      <c r="C822">
        <v>160.1</v>
      </c>
      <c r="D822" s="2"/>
    </row>
    <row r="823" spans="2:4" x14ac:dyDescent="0.3">
      <c r="B823" t="str">
        <v>2023-04-11</v>
      </c>
      <c r="C823">
        <v>160.80000000000001</v>
      </c>
      <c r="D823" s="2"/>
    </row>
    <row r="824" spans="2:4" x14ac:dyDescent="0.3">
      <c r="B824" t="str">
        <v>2023-04-10</v>
      </c>
      <c r="C824">
        <v>162.03</v>
      </c>
      <c r="D824" s="2"/>
    </row>
    <row r="825" spans="2:4" x14ac:dyDescent="0.3">
      <c r="B825" t="str">
        <v>2023-04-06</v>
      </c>
      <c r="C825">
        <v>164.66</v>
      </c>
      <c r="D825" s="2"/>
    </row>
    <row r="826" spans="2:4" x14ac:dyDescent="0.3">
      <c r="B826" t="str">
        <v>2023-04-05</v>
      </c>
      <c r="C826">
        <v>163.76</v>
      </c>
      <c r="D826" s="2"/>
    </row>
    <row r="827" spans="2:4" x14ac:dyDescent="0.3">
      <c r="B827" t="str">
        <v>2023-04-04</v>
      </c>
      <c r="C827">
        <v>165.63</v>
      </c>
      <c r="D827" s="2"/>
    </row>
    <row r="828" spans="2:4" x14ac:dyDescent="0.3">
      <c r="B828" t="str">
        <v>2023-04-03</v>
      </c>
      <c r="C828">
        <v>166.17</v>
      </c>
      <c r="D828" s="2"/>
    </row>
    <row r="829" spans="2:4" x14ac:dyDescent="0.3">
      <c r="B829" t="str">
        <v>2023-03-31</v>
      </c>
      <c r="C829">
        <v>164.9</v>
      </c>
      <c r="D829" s="2"/>
    </row>
    <row r="830" spans="2:4" x14ac:dyDescent="0.3">
      <c r="B830" t="str">
        <v>2023-03-30</v>
      </c>
      <c r="C830">
        <v>162.36000000000001</v>
      </c>
      <c r="D830" s="2"/>
    </row>
    <row r="831" spans="2:4" x14ac:dyDescent="0.3">
      <c r="B831" t="str">
        <v>2023-03-29</v>
      </c>
      <c r="C831">
        <v>160.77000000000001</v>
      </c>
      <c r="D831" s="2"/>
    </row>
    <row r="832" spans="2:4" x14ac:dyDescent="0.3">
      <c r="B832" t="str">
        <v>2023-03-28</v>
      </c>
      <c r="C832">
        <v>157.65</v>
      </c>
      <c r="D832" s="2"/>
    </row>
    <row r="833" spans="2:4" x14ac:dyDescent="0.3">
      <c r="B833" t="str">
        <v>2023-03-27</v>
      </c>
      <c r="C833">
        <v>158.28</v>
      </c>
      <c r="D833" s="2"/>
    </row>
    <row r="834" spans="2:4" x14ac:dyDescent="0.3">
      <c r="B834" t="str">
        <v>2023-03-24</v>
      </c>
      <c r="C834">
        <v>160.25</v>
      </c>
      <c r="D834" s="2"/>
    </row>
    <row r="835" spans="2:4" x14ac:dyDescent="0.3">
      <c r="B835" t="str">
        <v>2023-03-23</v>
      </c>
      <c r="C835">
        <v>158.93</v>
      </c>
      <c r="D835" s="2"/>
    </row>
    <row r="836" spans="2:4" x14ac:dyDescent="0.3">
      <c r="B836" t="str">
        <v>2023-03-22</v>
      </c>
      <c r="C836">
        <v>157.83000000000001</v>
      </c>
      <c r="D836" s="2"/>
    </row>
    <row r="837" spans="2:4" x14ac:dyDescent="0.3">
      <c r="B837" t="str">
        <v>2023-03-21</v>
      </c>
      <c r="C837">
        <v>159.28</v>
      </c>
      <c r="D837" s="2"/>
    </row>
    <row r="838" spans="2:4" x14ac:dyDescent="0.3">
      <c r="B838" t="str">
        <v>2023-03-20</v>
      </c>
      <c r="C838">
        <v>157.4</v>
      </c>
      <c r="D838" s="2"/>
    </row>
    <row r="839" spans="2:4" x14ac:dyDescent="0.3">
      <c r="B839" t="str">
        <v>2023-03-17</v>
      </c>
      <c r="C839">
        <v>155</v>
      </c>
      <c r="D839" s="2"/>
    </row>
    <row r="840" spans="2:4" x14ac:dyDescent="0.3">
      <c r="B840" t="str">
        <v>2023-03-16</v>
      </c>
      <c r="C840">
        <v>155.85</v>
      </c>
      <c r="D840" s="2"/>
    </row>
    <row r="841" spans="2:4" x14ac:dyDescent="0.3">
      <c r="B841" t="str">
        <v>2023-03-15</v>
      </c>
      <c r="C841">
        <v>152.99</v>
      </c>
      <c r="D841" s="2"/>
    </row>
    <row r="842" spans="2:4" x14ac:dyDescent="0.3">
      <c r="B842" t="str">
        <v>2023-03-14</v>
      </c>
      <c r="C842">
        <v>152.59</v>
      </c>
      <c r="D842" s="2"/>
    </row>
    <row r="843" spans="2:4" x14ac:dyDescent="0.3">
      <c r="B843" t="str">
        <v>2023-03-13</v>
      </c>
      <c r="C843">
        <v>150.47</v>
      </c>
      <c r="D843" s="2"/>
    </row>
    <row r="844" spans="2:4" x14ac:dyDescent="0.3">
      <c r="B844" t="str">
        <v>2023-03-10</v>
      </c>
      <c r="C844">
        <v>148.5</v>
      </c>
      <c r="D844" s="2"/>
    </row>
    <row r="845" spans="2:4" x14ac:dyDescent="0.3">
      <c r="B845" t="str">
        <v>2023-03-09</v>
      </c>
      <c r="C845">
        <v>150.59</v>
      </c>
      <c r="D845" s="2"/>
    </row>
    <row r="846" spans="2:4" x14ac:dyDescent="0.3">
      <c r="B846" t="str">
        <v>2023-03-08</v>
      </c>
      <c r="C846">
        <v>152.87</v>
      </c>
      <c r="D846" s="2"/>
    </row>
    <row r="847" spans="2:4" x14ac:dyDescent="0.3">
      <c r="B847" t="str">
        <v>2023-03-07</v>
      </c>
      <c r="C847">
        <v>151.6</v>
      </c>
      <c r="D847" s="2"/>
    </row>
    <row r="848" spans="2:4" x14ac:dyDescent="0.3">
      <c r="B848" t="str">
        <v>2023-03-06</v>
      </c>
      <c r="C848">
        <v>153.83000000000001</v>
      </c>
      <c r="D848" s="2"/>
    </row>
    <row r="849" spans="2:4" x14ac:dyDescent="0.3">
      <c r="B849" t="str">
        <v>2023-03-03</v>
      </c>
      <c r="C849">
        <v>151.03</v>
      </c>
      <c r="D849" s="2"/>
    </row>
    <row r="850" spans="2:4" x14ac:dyDescent="0.3">
      <c r="B850" t="str">
        <v>2023-03-02</v>
      </c>
      <c r="C850">
        <v>145.91</v>
      </c>
      <c r="D850" s="2"/>
    </row>
    <row r="851" spans="2:4" x14ac:dyDescent="0.3">
      <c r="B851" t="str">
        <v>2023-03-01</v>
      </c>
      <c r="C851">
        <v>145.31</v>
      </c>
      <c r="D851" s="2"/>
    </row>
    <row r="852" spans="2:4" x14ac:dyDescent="0.3">
      <c r="B852" t="str">
        <v>2023-02-28</v>
      </c>
      <c r="C852">
        <v>147.41</v>
      </c>
      <c r="D852" s="2"/>
    </row>
    <row r="853" spans="2:4" x14ac:dyDescent="0.3">
      <c r="B853" t="str">
        <v>2023-02-27</v>
      </c>
      <c r="C853">
        <v>147.91999999999999</v>
      </c>
      <c r="D853" s="2"/>
    </row>
    <row r="854" spans="2:4" x14ac:dyDescent="0.3">
      <c r="B854" t="str">
        <v>2023-02-24</v>
      </c>
      <c r="C854">
        <v>146.71</v>
      </c>
      <c r="D854" s="2"/>
    </row>
    <row r="855" spans="2:4" x14ac:dyDescent="0.3">
      <c r="B855" t="str">
        <v>2023-02-23</v>
      </c>
      <c r="C855">
        <v>149.4</v>
      </c>
      <c r="D855" s="2"/>
    </row>
    <row r="856" spans="2:4" x14ac:dyDescent="0.3">
      <c r="B856" t="str">
        <v>2023-02-22</v>
      </c>
      <c r="C856">
        <v>148.91</v>
      </c>
      <c r="D856" s="2"/>
    </row>
    <row r="857" spans="2:4" x14ac:dyDescent="0.3">
      <c r="B857" t="str">
        <v>2023-02-21</v>
      </c>
      <c r="C857">
        <v>148.47999999999999</v>
      </c>
      <c r="D857" s="2"/>
    </row>
    <row r="858" spans="2:4" x14ac:dyDescent="0.3">
      <c r="B858" t="str">
        <v>2023-02-17</v>
      </c>
      <c r="C858">
        <v>152.55000000000001</v>
      </c>
      <c r="D858" s="2"/>
    </row>
    <row r="859" spans="2:4" x14ac:dyDescent="0.3">
      <c r="B859" t="str">
        <v>2023-02-16</v>
      </c>
      <c r="C859">
        <v>153.71</v>
      </c>
      <c r="D859" s="2"/>
    </row>
    <row r="860" spans="2:4" x14ac:dyDescent="0.3">
      <c r="B860" t="str">
        <v>2023-02-15</v>
      </c>
      <c r="C860">
        <v>155.33000000000001</v>
      </c>
      <c r="D860" s="2"/>
    </row>
    <row r="861" spans="2:4" x14ac:dyDescent="0.3">
      <c r="B861" t="str">
        <v>2023-02-14</v>
      </c>
      <c r="C861">
        <v>153.19999999999999</v>
      </c>
      <c r="D861" s="2"/>
    </row>
    <row r="862" spans="2:4" x14ac:dyDescent="0.3">
      <c r="B862" t="str">
        <v>2023-02-13</v>
      </c>
      <c r="C862">
        <v>153.85</v>
      </c>
      <c r="D862" s="2"/>
    </row>
    <row r="863" spans="2:4" x14ac:dyDescent="0.3">
      <c r="B863" t="str">
        <v>2023-02-10</v>
      </c>
      <c r="C863">
        <v>151.01</v>
      </c>
      <c r="D863" s="2"/>
    </row>
    <row r="864" spans="2:4" x14ac:dyDescent="0.3">
      <c r="B864" t="str">
        <v>2023-02-09</v>
      </c>
      <c r="C864">
        <v>150.87</v>
      </c>
      <c r="D864" s="2"/>
    </row>
    <row r="865" spans="2:4" x14ac:dyDescent="0.3">
      <c r="B865" t="str">
        <v>2023-02-08</v>
      </c>
      <c r="C865">
        <v>151.91999999999999</v>
      </c>
      <c r="D865" s="2"/>
    </row>
    <row r="866" spans="2:4" x14ac:dyDescent="0.3">
      <c r="B866" t="str">
        <v>2023-02-07</v>
      </c>
      <c r="C866">
        <v>154.65</v>
      </c>
      <c r="D866" s="2"/>
    </row>
    <row r="867" spans="2:4" x14ac:dyDescent="0.3">
      <c r="B867" t="str">
        <v>2023-02-06</v>
      </c>
      <c r="C867">
        <v>151.72999999999999</v>
      </c>
      <c r="D867" s="2"/>
    </row>
    <row r="868" spans="2:4" x14ac:dyDescent="0.3">
      <c r="B868" t="str">
        <v>2023-02-03</v>
      </c>
      <c r="C868">
        <v>154.5</v>
      </c>
      <c r="D868" s="2"/>
    </row>
    <row r="869" spans="2:4" x14ac:dyDescent="0.3">
      <c r="B869" t="str">
        <v>2023-02-02</v>
      </c>
      <c r="C869">
        <v>150.82</v>
      </c>
      <c r="D869" s="2"/>
    </row>
    <row r="870" spans="2:4" x14ac:dyDescent="0.3">
      <c r="B870" t="str">
        <v>2023-02-01</v>
      </c>
      <c r="C870">
        <v>145.43</v>
      </c>
      <c r="D870" s="2"/>
    </row>
    <row r="871" spans="2:4" x14ac:dyDescent="0.3">
      <c r="B871" t="str">
        <v>2023-01-31</v>
      </c>
      <c r="C871">
        <v>144.29</v>
      </c>
      <c r="D871" s="2"/>
    </row>
    <row r="872" spans="2:4" x14ac:dyDescent="0.3">
      <c r="B872" t="str">
        <v>2023-01-30</v>
      </c>
      <c r="C872">
        <v>143</v>
      </c>
      <c r="D872" s="2"/>
    </row>
    <row r="873" spans="2:4" x14ac:dyDescent="0.3">
      <c r="B873" t="str">
        <v>2023-01-27</v>
      </c>
      <c r="C873">
        <v>145.93</v>
      </c>
      <c r="D873" s="2"/>
    </row>
    <row r="874" spans="2:4" x14ac:dyDescent="0.3">
      <c r="B874" t="str">
        <v>2023-01-26</v>
      </c>
      <c r="C874">
        <v>143.96</v>
      </c>
      <c r="D874" s="2"/>
    </row>
    <row r="875" spans="2:4" x14ac:dyDescent="0.3">
      <c r="B875" t="str">
        <v>2023-01-25</v>
      </c>
      <c r="C875">
        <v>141.86000000000001</v>
      </c>
      <c r="D875" s="2"/>
    </row>
    <row r="876" spans="2:4" x14ac:dyDescent="0.3">
      <c r="B876" t="str">
        <v>2023-01-24</v>
      </c>
      <c r="C876">
        <v>142.53</v>
      </c>
      <c r="D876" s="2"/>
    </row>
    <row r="877" spans="2:4" x14ac:dyDescent="0.3">
      <c r="B877" t="str">
        <v>2023-01-23</v>
      </c>
      <c r="C877">
        <v>141.11000000000001</v>
      </c>
      <c r="D877" s="2"/>
    </row>
    <row r="878" spans="2:4" x14ac:dyDescent="0.3">
      <c r="B878" t="str">
        <v>2023-01-20</v>
      </c>
      <c r="C878">
        <v>137.87</v>
      </c>
      <c r="D878" s="2"/>
    </row>
    <row r="879" spans="2:4" x14ac:dyDescent="0.3">
      <c r="B879" t="str">
        <v>2023-01-19</v>
      </c>
      <c r="C879">
        <v>135.27000000000001</v>
      </c>
      <c r="D879" s="2"/>
    </row>
    <row r="880" spans="2:4" x14ac:dyDescent="0.3">
      <c r="B880" t="str">
        <v>2023-01-18</v>
      </c>
      <c r="C880">
        <v>135.21</v>
      </c>
      <c r="D880" s="2"/>
    </row>
    <row r="881" spans="2:4" x14ac:dyDescent="0.3">
      <c r="B881" t="str">
        <v>2023-01-17</v>
      </c>
      <c r="C881">
        <v>135.94</v>
      </c>
      <c r="D881" s="2"/>
    </row>
    <row r="882" spans="2:4" x14ac:dyDescent="0.3">
      <c r="B882" t="str">
        <v>2023-01-13</v>
      </c>
      <c r="C882">
        <v>134.76</v>
      </c>
      <c r="D882" s="2"/>
    </row>
    <row r="883" spans="2:4" x14ac:dyDescent="0.3">
      <c r="B883" t="str">
        <v>2023-01-12</v>
      </c>
      <c r="C883">
        <v>133.41</v>
      </c>
      <c r="D883" s="2"/>
    </row>
    <row r="884" spans="2:4" x14ac:dyDescent="0.3">
      <c r="B884" t="str">
        <v>2023-01-11</v>
      </c>
      <c r="C884">
        <v>133.49</v>
      </c>
      <c r="D884" s="2"/>
    </row>
    <row r="885" spans="2:4" x14ac:dyDescent="0.3">
      <c r="B885" t="str">
        <v>2023-01-10</v>
      </c>
      <c r="C885">
        <v>130.72999999999999</v>
      </c>
      <c r="D885" s="2"/>
    </row>
    <row r="886" spans="2:4" x14ac:dyDescent="0.3">
      <c r="B886" t="str">
        <v>2023-01-09</v>
      </c>
      <c r="C886">
        <v>130.15</v>
      </c>
      <c r="D886" s="2"/>
    </row>
    <row r="887" spans="2:4" x14ac:dyDescent="0.3">
      <c r="B887" t="str">
        <v>2023-01-06</v>
      </c>
      <c r="C887">
        <v>129.62</v>
      </c>
      <c r="D887" s="2"/>
    </row>
    <row r="888" spans="2:4" x14ac:dyDescent="0.3">
      <c r="B888" t="str">
        <v>2023-01-05</v>
      </c>
      <c r="C888">
        <v>125.02</v>
      </c>
      <c r="D888" s="2"/>
    </row>
    <row r="889" spans="2:4" x14ac:dyDescent="0.3">
      <c r="B889" t="str">
        <v>2023-01-04</v>
      </c>
      <c r="C889">
        <v>126.36</v>
      </c>
      <c r="D889" s="2"/>
    </row>
    <row r="890" spans="2:4" x14ac:dyDescent="0.3">
      <c r="B890" t="str">
        <v>2023-01-03</v>
      </c>
      <c r="C890">
        <v>125.07</v>
      </c>
      <c r="D890" s="2"/>
    </row>
    <row r="891" spans="2:4" x14ac:dyDescent="0.3">
      <c r="B891" t="str">
        <v>2022-12-30</v>
      </c>
      <c r="C891">
        <v>129.93</v>
      </c>
      <c r="D891" s="2"/>
    </row>
    <row r="892" spans="2:4" x14ac:dyDescent="0.3">
      <c r="B892" t="str">
        <v>2022-12-29</v>
      </c>
      <c r="C892">
        <v>129.61000000000001</v>
      </c>
      <c r="D892" s="2"/>
    </row>
    <row r="893" spans="2:4" x14ac:dyDescent="0.3">
      <c r="B893" t="str">
        <v>2022-12-28</v>
      </c>
      <c r="C893">
        <v>126.04</v>
      </c>
      <c r="D893" s="2"/>
    </row>
    <row r="894" spans="2:4" x14ac:dyDescent="0.3">
      <c r="B894" t="str">
        <v>2022-12-27</v>
      </c>
      <c r="C894">
        <v>130.03</v>
      </c>
      <c r="D894" s="2"/>
    </row>
    <row r="895" spans="2:4" x14ac:dyDescent="0.3">
      <c r="B895" t="str">
        <v>2022-12-23</v>
      </c>
      <c r="C895">
        <v>131.86000000000001</v>
      </c>
      <c r="D895" s="2"/>
    </row>
    <row r="896" spans="2:4" x14ac:dyDescent="0.3">
      <c r="B896" t="str">
        <v>2022-12-22</v>
      </c>
      <c r="C896">
        <v>132.22999999999999</v>
      </c>
      <c r="D896" s="2"/>
    </row>
    <row r="897" spans="2:4" x14ac:dyDescent="0.3">
      <c r="B897" t="str">
        <v>2022-12-21</v>
      </c>
      <c r="C897">
        <v>135.44999999999999</v>
      </c>
      <c r="D897" s="2"/>
    </row>
    <row r="898" spans="2:4" x14ac:dyDescent="0.3">
      <c r="B898" t="str">
        <v>2022-12-20</v>
      </c>
      <c r="C898">
        <v>132.30000000000001</v>
      </c>
      <c r="D898" s="2"/>
    </row>
    <row r="899" spans="2:4" x14ac:dyDescent="0.3">
      <c r="B899" t="str">
        <v>2022-12-19</v>
      </c>
      <c r="C899">
        <v>132.37</v>
      </c>
      <c r="D899" s="2"/>
    </row>
    <row r="900" spans="2:4" x14ac:dyDescent="0.3">
      <c r="B900" t="str">
        <v>2022-12-16</v>
      </c>
      <c r="C900">
        <v>134.51</v>
      </c>
      <c r="D900" s="2"/>
    </row>
    <row r="901" spans="2:4" x14ac:dyDescent="0.3">
      <c r="B901" t="str">
        <v>2022-12-15</v>
      </c>
      <c r="C901">
        <v>136.5</v>
      </c>
      <c r="D901" s="2"/>
    </row>
    <row r="902" spans="2:4" x14ac:dyDescent="0.3">
      <c r="B902" t="str">
        <v>2022-12-14</v>
      </c>
      <c r="C902">
        <v>143.21</v>
      </c>
      <c r="D902" s="2"/>
    </row>
    <row r="903" spans="2:4" x14ac:dyDescent="0.3">
      <c r="B903" t="str">
        <v>2022-12-13</v>
      </c>
      <c r="C903">
        <v>145.47</v>
      </c>
      <c r="D903" s="2"/>
    </row>
    <row r="904" spans="2:4" x14ac:dyDescent="0.3">
      <c r="B904" t="str">
        <v>2022-12-12</v>
      </c>
      <c r="C904">
        <v>144.49</v>
      </c>
      <c r="D904" s="2"/>
    </row>
    <row r="905" spans="2:4" x14ac:dyDescent="0.3">
      <c r="B905" t="str">
        <v>2022-12-09</v>
      </c>
      <c r="C905">
        <v>142.16</v>
      </c>
      <c r="D905" s="2"/>
    </row>
    <row r="906" spans="2:4" x14ac:dyDescent="0.3">
      <c r="B906" t="str">
        <v>2022-12-08</v>
      </c>
      <c r="C906">
        <v>142.65</v>
      </c>
      <c r="D906" s="2"/>
    </row>
    <row r="907" spans="2:4" x14ac:dyDescent="0.3">
      <c r="B907" t="str">
        <v>2022-12-07</v>
      </c>
      <c r="C907">
        <v>140.94</v>
      </c>
      <c r="D907" s="2"/>
    </row>
    <row r="908" spans="2:4" x14ac:dyDescent="0.3">
      <c r="B908" t="str">
        <v>2022-12-06</v>
      </c>
      <c r="C908">
        <v>142.91</v>
      </c>
      <c r="D908" s="2"/>
    </row>
    <row r="909" spans="2:4" x14ac:dyDescent="0.3">
      <c r="B909" t="str">
        <v>2022-12-05</v>
      </c>
      <c r="C909">
        <v>146.63</v>
      </c>
      <c r="D909" s="2"/>
    </row>
    <row r="910" spans="2:4" x14ac:dyDescent="0.3">
      <c r="B910" t="str">
        <v>2022-12-02</v>
      </c>
      <c r="C910">
        <v>147.81</v>
      </c>
      <c r="D910" s="2"/>
    </row>
    <row r="911" spans="2:4" x14ac:dyDescent="0.3">
      <c r="B911" t="str">
        <v>2022-12-01</v>
      </c>
      <c r="C911">
        <v>148.31</v>
      </c>
      <c r="D911" s="2"/>
    </row>
    <row r="912" spans="2:4" x14ac:dyDescent="0.3">
      <c r="B912" t="str">
        <v>2022-11-30</v>
      </c>
      <c r="C912">
        <v>148.03</v>
      </c>
      <c r="D912" s="2"/>
    </row>
    <row r="913" spans="2:4" x14ac:dyDescent="0.3">
      <c r="B913" t="str">
        <v>2022-11-29</v>
      </c>
      <c r="C913">
        <v>141.16999999999999</v>
      </c>
      <c r="D913" s="2"/>
    </row>
    <row r="914" spans="2:4" x14ac:dyDescent="0.3">
      <c r="B914" t="str">
        <v>2022-11-28</v>
      </c>
      <c r="C914">
        <v>144.22</v>
      </c>
      <c r="D914" s="2"/>
    </row>
    <row r="915" spans="2:4" x14ac:dyDescent="0.3">
      <c r="B915" t="str">
        <v>2022-11-25</v>
      </c>
      <c r="C915">
        <v>148.11000000000001</v>
      </c>
      <c r="D915" s="2"/>
    </row>
    <row r="916" spans="2:4" x14ac:dyDescent="0.3">
      <c r="B916" t="str">
        <v>2022-11-23</v>
      </c>
      <c r="C916">
        <v>151.07</v>
      </c>
      <c r="D916" s="2"/>
    </row>
    <row r="917" spans="2:4" x14ac:dyDescent="0.3">
      <c r="B917" t="str">
        <v>2022-11-22</v>
      </c>
      <c r="C917">
        <v>150.18</v>
      </c>
      <c r="D917" s="2"/>
    </row>
    <row r="918" spans="2:4" x14ac:dyDescent="0.3">
      <c r="B918" t="str">
        <v>2022-11-21</v>
      </c>
      <c r="C918">
        <v>148.01</v>
      </c>
      <c r="D918" s="2"/>
    </row>
    <row r="919" spans="2:4" x14ac:dyDescent="0.3">
      <c r="B919" t="str">
        <v>2022-11-18</v>
      </c>
      <c r="C919">
        <v>151.29</v>
      </c>
      <c r="D919" s="2"/>
    </row>
    <row r="920" spans="2:4" x14ac:dyDescent="0.3">
      <c r="B920" t="str">
        <v>2022-11-17</v>
      </c>
      <c r="C920">
        <v>150.72</v>
      </c>
      <c r="D920" s="2"/>
    </row>
    <row r="921" spans="2:4" x14ac:dyDescent="0.3">
      <c r="B921" t="str">
        <v>2022-11-16</v>
      </c>
      <c r="C921">
        <v>148.79</v>
      </c>
      <c r="D921" s="2"/>
    </row>
    <row r="922" spans="2:4" x14ac:dyDescent="0.3">
      <c r="B922" t="str">
        <v>2022-11-15</v>
      </c>
      <c r="C922">
        <v>150.04</v>
      </c>
      <c r="D922" s="2"/>
    </row>
    <row r="923" spans="2:4" x14ac:dyDescent="0.3">
      <c r="B923" t="str">
        <v>2022-11-14</v>
      </c>
      <c r="C923">
        <v>148.28</v>
      </c>
      <c r="D923" s="2"/>
    </row>
    <row r="924" spans="2:4" x14ac:dyDescent="0.3">
      <c r="B924" t="str">
        <v>2022-11-11</v>
      </c>
      <c r="C924">
        <v>149.69999999999999</v>
      </c>
      <c r="D924" s="2"/>
    </row>
    <row r="925" spans="2:4" x14ac:dyDescent="0.3">
      <c r="B925" t="str">
        <v>2022-11-10</v>
      </c>
      <c r="C925">
        <v>146.87</v>
      </c>
      <c r="D925" s="2"/>
    </row>
    <row r="926" spans="2:4" x14ac:dyDescent="0.3">
      <c r="B926" t="str">
        <v>2022-11-09</v>
      </c>
      <c r="C926">
        <v>134.87</v>
      </c>
      <c r="D926" s="2"/>
    </row>
    <row r="927" spans="2:4" x14ac:dyDescent="0.3">
      <c r="B927" t="str">
        <v>2022-11-08</v>
      </c>
      <c r="C927">
        <v>139.5</v>
      </c>
      <c r="D927" s="2"/>
    </row>
    <row r="928" spans="2:4" x14ac:dyDescent="0.3">
      <c r="B928" t="str">
        <v>2022-11-07</v>
      </c>
      <c r="C928">
        <v>138.91999999999999</v>
      </c>
      <c r="D928" s="2"/>
    </row>
    <row r="929" spans="2:4" x14ac:dyDescent="0.3">
      <c r="B929" t="str">
        <v>2022-11-04</v>
      </c>
      <c r="C929">
        <v>138.38</v>
      </c>
      <c r="D929" s="2"/>
    </row>
    <row r="930" spans="2:4" x14ac:dyDescent="0.3">
      <c r="B930" t="str">
        <v>2022-11-03</v>
      </c>
      <c r="C930">
        <v>138.88</v>
      </c>
      <c r="D930" s="2"/>
    </row>
    <row r="931" spans="2:4" x14ac:dyDescent="0.3">
      <c r="B931" t="str">
        <v>2022-11-02</v>
      </c>
      <c r="C931">
        <v>145.03</v>
      </c>
      <c r="D931" s="2"/>
    </row>
    <row r="932" spans="2:4" x14ac:dyDescent="0.3">
      <c r="B932" t="str">
        <v>2022-11-01</v>
      </c>
      <c r="C932">
        <v>150.65</v>
      </c>
      <c r="D932" s="2"/>
    </row>
    <row r="933" spans="2:4" x14ac:dyDescent="0.3">
      <c r="B933" t="str">
        <v>2022-10-31</v>
      </c>
      <c r="C933">
        <v>153.34</v>
      </c>
      <c r="D933" s="2"/>
    </row>
    <row r="934" spans="2:4" x14ac:dyDescent="0.3">
      <c r="B934" t="str">
        <v>2022-10-28</v>
      </c>
      <c r="C934">
        <v>155.74</v>
      </c>
      <c r="D934" s="2"/>
    </row>
    <row r="935" spans="2:4" x14ac:dyDescent="0.3">
      <c r="B935" t="str">
        <v>2022-10-27</v>
      </c>
      <c r="C935">
        <v>144.80000000000001</v>
      </c>
      <c r="D935" s="2"/>
    </row>
    <row r="936" spans="2:4" x14ac:dyDescent="0.3">
      <c r="B936" t="str">
        <v>2022-10-26</v>
      </c>
      <c r="C936">
        <v>149.35</v>
      </c>
      <c r="D936" s="2"/>
    </row>
    <row r="937" spans="2:4" x14ac:dyDescent="0.3">
      <c r="B937" t="str">
        <v>2022-10-25</v>
      </c>
      <c r="C937">
        <v>152.34</v>
      </c>
      <c r="D937" s="2"/>
    </row>
    <row r="938" spans="2:4" x14ac:dyDescent="0.3">
      <c r="B938" t="str">
        <v>2022-10-24</v>
      </c>
      <c r="C938">
        <v>149.44999999999999</v>
      </c>
      <c r="D938" s="2"/>
    </row>
    <row r="939" spans="2:4" x14ac:dyDescent="0.3">
      <c r="B939" t="str">
        <v>2022-10-21</v>
      </c>
      <c r="C939">
        <v>147.27000000000001</v>
      </c>
      <c r="D939" s="2"/>
    </row>
    <row r="940" spans="2:4" x14ac:dyDescent="0.3">
      <c r="B940" t="str">
        <v>2022-10-20</v>
      </c>
      <c r="C940">
        <v>143.38999999999999</v>
      </c>
      <c r="D940" s="2"/>
    </row>
    <row r="941" spans="2:4" x14ac:dyDescent="0.3">
      <c r="B941" t="str">
        <v>2022-10-19</v>
      </c>
      <c r="C941">
        <v>143.86000000000001</v>
      </c>
      <c r="D941" s="2"/>
    </row>
    <row r="942" spans="2:4" x14ac:dyDescent="0.3">
      <c r="B942" t="str">
        <v>2022-10-18</v>
      </c>
      <c r="C942">
        <v>143.75</v>
      </c>
      <c r="D942" s="2"/>
    </row>
    <row r="943" spans="2:4" x14ac:dyDescent="0.3">
      <c r="B943" t="str">
        <v>2022-10-17</v>
      </c>
      <c r="C943">
        <v>142.41</v>
      </c>
      <c r="D943" s="2"/>
    </row>
    <row r="944" spans="2:4" x14ac:dyDescent="0.3">
      <c r="B944" t="str">
        <v>2022-10-14</v>
      </c>
      <c r="C944">
        <v>138.38</v>
      </c>
      <c r="D944" s="2"/>
    </row>
    <row r="945" spans="2:4" x14ac:dyDescent="0.3">
      <c r="B945" t="str">
        <v>2022-10-13</v>
      </c>
      <c r="C945">
        <v>142.99</v>
      </c>
      <c r="D945" s="2"/>
    </row>
    <row r="946" spans="2:4" x14ac:dyDescent="0.3">
      <c r="B946" t="str">
        <v>2022-10-12</v>
      </c>
      <c r="C946">
        <v>138.34</v>
      </c>
      <c r="D946" s="2"/>
    </row>
    <row r="947" spans="2:4" x14ac:dyDescent="0.3">
      <c r="B947" t="str">
        <v>2022-10-11</v>
      </c>
      <c r="C947">
        <v>138.97999999999999</v>
      </c>
      <c r="D947" s="2"/>
    </row>
    <row r="948" spans="2:4" x14ac:dyDescent="0.3">
      <c r="B948" t="str">
        <v>2022-10-10</v>
      </c>
      <c r="C948">
        <v>140.41999999999999</v>
      </c>
      <c r="D948" s="2"/>
    </row>
    <row r="949" spans="2:4" x14ac:dyDescent="0.3">
      <c r="B949" t="str">
        <v>2022-10-07</v>
      </c>
      <c r="C949">
        <v>140.09</v>
      </c>
      <c r="D949" s="2"/>
    </row>
    <row r="950" spans="2:4" x14ac:dyDescent="0.3">
      <c r="B950" t="str">
        <v>2022-10-06</v>
      </c>
      <c r="C950">
        <v>145.43</v>
      </c>
      <c r="D950" s="2"/>
    </row>
    <row r="951" spans="2:4" x14ac:dyDescent="0.3">
      <c r="B951" t="str">
        <v>2022-10-05</v>
      </c>
      <c r="C951">
        <v>146.4</v>
      </c>
      <c r="D951" s="2"/>
    </row>
    <row r="952" spans="2:4" x14ac:dyDescent="0.3">
      <c r="B952" t="str">
        <v>2022-10-04</v>
      </c>
      <c r="C952">
        <v>146.1</v>
      </c>
      <c r="D952" s="2"/>
    </row>
    <row r="953" spans="2:4" x14ac:dyDescent="0.3">
      <c r="B953" t="str">
        <v>2022-10-03</v>
      </c>
      <c r="C953">
        <v>142.44999999999999</v>
      </c>
      <c r="D953" s="2"/>
    </row>
    <row r="954" spans="2:4" x14ac:dyDescent="0.3">
      <c r="B954" t="str">
        <v>2022-09-30</v>
      </c>
      <c r="C954">
        <v>138.19999999999999</v>
      </c>
      <c r="D954" s="2"/>
    </row>
    <row r="955" spans="2:4" x14ac:dyDescent="0.3">
      <c r="B955" t="str">
        <v>2022-09-29</v>
      </c>
      <c r="C955">
        <v>142.47999999999999</v>
      </c>
      <c r="D955" s="2"/>
    </row>
    <row r="956" spans="2:4" x14ac:dyDescent="0.3">
      <c r="B956" t="str">
        <v>2022-09-28</v>
      </c>
      <c r="C956">
        <v>149.84</v>
      </c>
      <c r="D956" s="2"/>
    </row>
    <row r="957" spans="2:4" x14ac:dyDescent="0.3">
      <c r="B957" t="str">
        <v>2022-09-27</v>
      </c>
      <c r="C957">
        <v>151.76</v>
      </c>
      <c r="D957" s="2"/>
    </row>
    <row r="958" spans="2:4" x14ac:dyDescent="0.3">
      <c r="B958" t="str">
        <v>2022-09-26</v>
      </c>
      <c r="C958">
        <v>150.77000000000001</v>
      </c>
      <c r="D958" s="2"/>
    </row>
    <row r="959" spans="2:4" x14ac:dyDescent="0.3">
      <c r="B959" t="str">
        <v>2022-09-23</v>
      </c>
      <c r="C959">
        <v>150.43</v>
      </c>
      <c r="D959" s="2"/>
    </row>
    <row r="960" spans="2:4" x14ac:dyDescent="0.3">
      <c r="B960" t="str">
        <v>2022-09-22</v>
      </c>
      <c r="C960">
        <v>152.74</v>
      </c>
      <c r="D960" s="2"/>
    </row>
    <row r="961" spans="2:4" x14ac:dyDescent="0.3">
      <c r="B961" t="str">
        <v>2022-09-21</v>
      </c>
      <c r="C961">
        <v>153.72</v>
      </c>
      <c r="D961" s="2"/>
    </row>
    <row r="962" spans="2:4" x14ac:dyDescent="0.3">
      <c r="B962" t="str">
        <v>2022-09-20</v>
      </c>
      <c r="C962">
        <v>156.9</v>
      </c>
      <c r="D962" s="2"/>
    </row>
    <row r="963" spans="2:4" x14ac:dyDescent="0.3">
      <c r="B963" t="str">
        <v>2022-09-19</v>
      </c>
      <c r="C963">
        <v>154.47999999999999</v>
      </c>
      <c r="D963" s="2"/>
    </row>
    <row r="964" spans="2:4" x14ac:dyDescent="0.3">
      <c r="B964" t="str">
        <v>2022-09-16</v>
      </c>
      <c r="C964">
        <v>150.69999999999999</v>
      </c>
      <c r="D964" s="2"/>
    </row>
    <row r="965" spans="2:4" x14ac:dyDescent="0.3">
      <c r="B965" t="str">
        <v>2022-09-15</v>
      </c>
      <c r="C965">
        <v>152.37</v>
      </c>
      <c r="D965" s="2"/>
    </row>
    <row r="966" spans="2:4" x14ac:dyDescent="0.3">
      <c r="B966" t="str">
        <v>2022-09-14</v>
      </c>
      <c r="C966">
        <v>155.31</v>
      </c>
      <c r="D966" s="2"/>
    </row>
    <row r="967" spans="2:4" x14ac:dyDescent="0.3">
      <c r="B967" t="str">
        <v>2022-09-13</v>
      </c>
      <c r="C967">
        <v>153.84</v>
      </c>
      <c r="D967" s="2"/>
    </row>
    <row r="968" spans="2:4" x14ac:dyDescent="0.3">
      <c r="B968" t="str">
        <v>2022-09-12</v>
      </c>
      <c r="C968">
        <v>163.43</v>
      </c>
      <c r="D968" s="2"/>
    </row>
    <row r="969" spans="2:4" x14ac:dyDescent="0.3">
      <c r="B969" t="str">
        <v>2022-09-09</v>
      </c>
      <c r="C969">
        <v>157.37</v>
      </c>
      <c r="D969" s="2"/>
    </row>
    <row r="970" spans="2:4" x14ac:dyDescent="0.3">
      <c r="B970" t="str">
        <v>2022-09-08</v>
      </c>
      <c r="C970">
        <v>154.46</v>
      </c>
      <c r="D970" s="2"/>
    </row>
    <row r="971" spans="2:4" x14ac:dyDescent="0.3">
      <c r="B971" t="str">
        <v>2022-09-07</v>
      </c>
      <c r="C971">
        <v>155.96</v>
      </c>
      <c r="D971" s="2"/>
    </row>
    <row r="972" spans="2:4" x14ac:dyDescent="0.3">
      <c r="B972" t="str">
        <v>2022-09-06</v>
      </c>
      <c r="C972">
        <v>154.53</v>
      </c>
      <c r="D972" s="2"/>
    </row>
    <row r="973" spans="2:4" x14ac:dyDescent="0.3">
      <c r="B973" t="str">
        <v>2022-09-02</v>
      </c>
      <c r="C973">
        <v>155.81</v>
      </c>
      <c r="D973" s="2"/>
    </row>
    <row r="974" spans="2:4" x14ac:dyDescent="0.3">
      <c r="B974" t="str">
        <v>2022-09-01</v>
      </c>
      <c r="C974">
        <v>157.96</v>
      </c>
      <c r="D974" s="2"/>
    </row>
    <row r="975" spans="2:4" x14ac:dyDescent="0.3">
      <c r="B975" t="str">
        <v>2022-08-31</v>
      </c>
      <c r="C975">
        <v>157.22</v>
      </c>
      <c r="D975" s="2"/>
    </row>
    <row r="976" spans="2:4" x14ac:dyDescent="0.3">
      <c r="B976" t="str">
        <v>2022-08-30</v>
      </c>
      <c r="C976">
        <v>158.91</v>
      </c>
      <c r="D976" s="2"/>
    </row>
    <row r="977" spans="2:4" x14ac:dyDescent="0.3">
      <c r="B977" t="str">
        <v>2022-08-29</v>
      </c>
      <c r="C977">
        <v>161.38</v>
      </c>
      <c r="D977" s="2"/>
    </row>
    <row r="978" spans="2:4" x14ac:dyDescent="0.3">
      <c r="B978" t="str">
        <v>2022-08-26</v>
      </c>
      <c r="C978">
        <v>163.62</v>
      </c>
      <c r="D978" s="2"/>
    </row>
    <row r="979" spans="2:4" x14ac:dyDescent="0.3">
      <c r="B979" t="str">
        <v>2022-08-25</v>
      </c>
      <c r="C979">
        <v>170.03</v>
      </c>
      <c r="D979" s="2"/>
    </row>
    <row r="980" spans="2:4" x14ac:dyDescent="0.3">
      <c r="B980" t="str">
        <v>2022-08-24</v>
      </c>
      <c r="C980">
        <v>167.53</v>
      </c>
      <c r="D980" s="2"/>
    </row>
    <row r="981" spans="2:4" x14ac:dyDescent="0.3">
      <c r="B981" t="str">
        <v>2022-08-23</v>
      </c>
      <c r="C981">
        <v>167.23</v>
      </c>
      <c r="D981" s="2"/>
    </row>
    <row r="982" spans="2:4" x14ac:dyDescent="0.3">
      <c r="B982" t="str">
        <v>2022-08-22</v>
      </c>
      <c r="C982">
        <v>167.57</v>
      </c>
      <c r="D982" s="2"/>
    </row>
    <row r="983" spans="2:4" x14ac:dyDescent="0.3">
      <c r="B983" t="str">
        <v>2022-08-19</v>
      </c>
      <c r="C983">
        <v>171.52</v>
      </c>
      <c r="D983" s="2"/>
    </row>
    <row r="984" spans="2:4" x14ac:dyDescent="0.3">
      <c r="B984" t="str">
        <v>2022-08-18</v>
      </c>
      <c r="C984">
        <v>174.15</v>
      </c>
      <c r="D984" s="2"/>
    </row>
    <row r="985" spans="2:4" x14ac:dyDescent="0.3">
      <c r="B985" t="str">
        <v>2022-08-17</v>
      </c>
      <c r="C985">
        <v>174.55</v>
      </c>
      <c r="D985" s="2"/>
    </row>
    <row r="986" spans="2:4" x14ac:dyDescent="0.3">
      <c r="B986" t="str">
        <v>2022-08-16</v>
      </c>
      <c r="C986">
        <v>173.03</v>
      </c>
      <c r="D986" s="2"/>
    </row>
    <row r="987" spans="2:4" x14ac:dyDescent="0.3">
      <c r="B987" t="str">
        <v>2022-08-15</v>
      </c>
      <c r="C987">
        <v>173.19</v>
      </c>
      <c r="D987" s="2"/>
    </row>
    <row r="988" spans="2:4" x14ac:dyDescent="0.3">
      <c r="B988" t="str">
        <v>2022-08-12</v>
      </c>
      <c r="C988">
        <v>172.1</v>
      </c>
      <c r="D988" s="2"/>
    </row>
    <row r="989" spans="2:4" x14ac:dyDescent="0.3">
      <c r="B989" t="str">
        <v>2022-08-11</v>
      </c>
      <c r="C989">
        <v>168.49</v>
      </c>
      <c r="D989" s="2"/>
    </row>
    <row r="990" spans="2:4" x14ac:dyDescent="0.3">
      <c r="B990" t="str">
        <v>2022-08-10</v>
      </c>
      <c r="C990">
        <v>169.24</v>
      </c>
      <c r="D990" s="2"/>
    </row>
    <row r="991" spans="2:4" x14ac:dyDescent="0.3">
      <c r="B991" t="str">
        <v>2022-08-09</v>
      </c>
      <c r="C991">
        <v>164.92</v>
      </c>
      <c r="D991" s="2"/>
    </row>
    <row r="992" spans="2:4" x14ac:dyDescent="0.3">
      <c r="B992" t="str">
        <v>2022-08-08</v>
      </c>
      <c r="C992">
        <v>164.87</v>
      </c>
      <c r="D992" s="2"/>
    </row>
    <row r="993" spans="2:4" x14ac:dyDescent="0.3">
      <c r="B993" t="str">
        <v>2022-08-05</v>
      </c>
      <c r="C993">
        <v>165.35</v>
      </c>
      <c r="D993" s="2"/>
    </row>
    <row r="994" spans="2:4" x14ac:dyDescent="0.3">
      <c r="B994" t="str">
        <v>2022-08-04</v>
      </c>
      <c r="C994">
        <v>165.81</v>
      </c>
      <c r="D994" s="2"/>
    </row>
    <row r="995" spans="2:4" x14ac:dyDescent="0.3">
      <c r="B995" t="str">
        <v>2022-08-03</v>
      </c>
      <c r="C995">
        <v>166.13</v>
      </c>
      <c r="D995" s="2"/>
    </row>
    <row r="996" spans="2:4" x14ac:dyDescent="0.3">
      <c r="B996" t="str">
        <v>2022-08-02</v>
      </c>
      <c r="C996">
        <v>160.01</v>
      </c>
      <c r="D996" s="2"/>
    </row>
    <row r="997" spans="2:4" x14ac:dyDescent="0.3">
      <c r="B997" t="str">
        <v>2022-08-01</v>
      </c>
      <c r="C997">
        <v>161.51</v>
      </c>
      <c r="D997" s="2"/>
    </row>
    <row r="998" spans="2:4" x14ac:dyDescent="0.3">
      <c r="B998" t="str">
        <v>2022-07-29</v>
      </c>
      <c r="C998">
        <v>162.51</v>
      </c>
      <c r="D998" s="2"/>
    </row>
    <row r="999" spans="2:4" x14ac:dyDescent="0.3">
      <c r="B999" t="str">
        <v>2022-07-28</v>
      </c>
      <c r="C999">
        <v>157.35</v>
      </c>
      <c r="D999" s="2"/>
    </row>
    <row r="1000" spans="2:4" x14ac:dyDescent="0.3">
      <c r="B1000" t="str">
        <v>2022-07-27</v>
      </c>
      <c r="C1000">
        <v>156.79</v>
      </c>
      <c r="D1000" s="2"/>
    </row>
    <row r="1001" spans="2:4" x14ac:dyDescent="0.3">
      <c r="B1001" t="str">
        <v>2022-07-26</v>
      </c>
      <c r="C1001">
        <v>151.6</v>
      </c>
      <c r="D1001" s="2"/>
    </row>
    <row r="1002" spans="2:4" x14ac:dyDescent="0.3">
      <c r="B1002" t="str">
        <v>2022-07-25</v>
      </c>
      <c r="C1002">
        <v>152.94999999999999</v>
      </c>
      <c r="D1002" s="2"/>
    </row>
    <row r="1003" spans="2:4" x14ac:dyDescent="0.3">
      <c r="B1003" t="str">
        <v>2022-07-22</v>
      </c>
      <c r="C1003">
        <v>154.09</v>
      </c>
      <c r="D1003" s="2"/>
    </row>
    <row r="1004" spans="2:4" x14ac:dyDescent="0.3">
      <c r="B1004" t="str">
        <v>2022-07-21</v>
      </c>
      <c r="C1004">
        <v>155.35</v>
      </c>
      <c r="D1004" s="2"/>
    </row>
    <row r="1005" spans="2:4" x14ac:dyDescent="0.3">
      <c r="B1005" t="str">
        <v>2022-07-20</v>
      </c>
      <c r="C1005">
        <v>153.04</v>
      </c>
      <c r="D1005" s="2"/>
    </row>
    <row r="1006" spans="2:4" x14ac:dyDescent="0.3">
      <c r="B1006" t="str">
        <v>2022-07-19</v>
      </c>
      <c r="C1006">
        <v>151</v>
      </c>
      <c r="D1006" s="2"/>
    </row>
    <row r="1007" spans="2:4" x14ac:dyDescent="0.3">
      <c r="B1007" t="str">
        <v>2022-07-18</v>
      </c>
      <c r="C1007">
        <v>147.07</v>
      </c>
      <c r="D1007" s="2"/>
    </row>
    <row r="1008" spans="2:4" x14ac:dyDescent="0.3">
      <c r="B1008" t="str">
        <v>2022-07-15</v>
      </c>
      <c r="C1008">
        <v>150.16999999999999</v>
      </c>
      <c r="D1008" s="2"/>
    </row>
    <row r="1009" spans="2:4" x14ac:dyDescent="0.3">
      <c r="B1009" t="str">
        <v>2022-07-14</v>
      </c>
      <c r="C1009">
        <v>148.47</v>
      </c>
      <c r="D1009" s="2"/>
    </row>
    <row r="1010" spans="2:4" x14ac:dyDescent="0.3">
      <c r="B1010" t="str">
        <v>2022-07-13</v>
      </c>
      <c r="C1010">
        <v>145.49</v>
      </c>
      <c r="D1010" s="2"/>
    </row>
    <row r="1011" spans="2:4" x14ac:dyDescent="0.3">
      <c r="B1011" t="str">
        <v>2022-07-12</v>
      </c>
      <c r="C1011">
        <v>145.86000000000001</v>
      </c>
      <c r="D1011" s="2"/>
    </row>
    <row r="1012" spans="2:4" x14ac:dyDescent="0.3">
      <c r="B1012" t="str">
        <v>2022-07-11</v>
      </c>
      <c r="C1012">
        <v>144.87</v>
      </c>
      <c r="D1012" s="2"/>
    </row>
    <row r="1013" spans="2:4" x14ac:dyDescent="0.3">
      <c r="B1013" t="str">
        <v>2022-07-08</v>
      </c>
      <c r="C1013">
        <v>147.04</v>
      </c>
      <c r="D1013" s="2"/>
    </row>
    <row r="1014" spans="2:4" x14ac:dyDescent="0.3">
      <c r="B1014" t="str">
        <v>2022-07-07</v>
      </c>
      <c r="C1014">
        <v>146.35</v>
      </c>
      <c r="D1014" s="2"/>
    </row>
    <row r="1015" spans="2:4" x14ac:dyDescent="0.3">
      <c r="B1015" t="str">
        <v>2022-07-06</v>
      </c>
      <c r="C1015">
        <v>142.91999999999999</v>
      </c>
      <c r="D1015" s="2"/>
    </row>
    <row r="1016" spans="2:4" x14ac:dyDescent="0.3">
      <c r="B1016" t="str">
        <v>2022-07-05</v>
      </c>
      <c r="C1016">
        <v>141.56</v>
      </c>
      <c r="D1016" s="2"/>
    </row>
    <row r="1017" spans="2:4" x14ac:dyDescent="0.3">
      <c r="B1017" t="str">
        <v>2022-07-01</v>
      </c>
      <c r="C1017">
        <v>138.93</v>
      </c>
      <c r="D1017" s="2"/>
    </row>
    <row r="1018" spans="2:4" x14ac:dyDescent="0.3">
      <c r="B1018" t="str">
        <v>2022-06-30</v>
      </c>
      <c r="C1018">
        <v>136.72</v>
      </c>
      <c r="D1018" s="2"/>
    </row>
    <row r="1019" spans="2:4" x14ac:dyDescent="0.3">
      <c r="B1019" t="str">
        <v>2022-06-29</v>
      </c>
      <c r="C1019">
        <v>139.22999999999999</v>
      </c>
      <c r="D1019" s="2"/>
    </row>
    <row r="1020" spans="2:4" x14ac:dyDescent="0.3">
      <c r="B1020" t="str">
        <v>2022-06-28</v>
      </c>
      <c r="C1020">
        <v>137.44</v>
      </c>
      <c r="D1020" s="2"/>
    </row>
    <row r="1021" spans="2:4" x14ac:dyDescent="0.3">
      <c r="B1021" t="str">
        <v>2022-06-27</v>
      </c>
      <c r="C1021">
        <v>141.66</v>
      </c>
      <c r="D1021" s="2"/>
    </row>
    <row r="1022" spans="2:4" x14ac:dyDescent="0.3">
      <c r="B1022" t="str">
        <v>2022-06-24</v>
      </c>
      <c r="C1022">
        <v>141.66</v>
      </c>
      <c r="D1022" s="2"/>
    </row>
    <row r="1023" spans="2:4" x14ac:dyDescent="0.3">
      <c r="B1023" t="str">
        <v>2022-06-23</v>
      </c>
      <c r="C1023">
        <v>138.27000000000001</v>
      </c>
      <c r="D1023" s="2"/>
    </row>
    <row r="1024" spans="2:4" x14ac:dyDescent="0.3">
      <c r="B1024" t="str">
        <v>2022-06-22</v>
      </c>
      <c r="C1024">
        <v>135.35</v>
      </c>
      <c r="D1024" s="2"/>
    </row>
    <row r="1025" spans="2:4" x14ac:dyDescent="0.3">
      <c r="B1025" t="str">
        <v>2022-06-21</v>
      </c>
      <c r="C1025">
        <v>135.87</v>
      </c>
      <c r="D1025" s="2"/>
    </row>
    <row r="1026" spans="2:4" x14ac:dyDescent="0.3">
      <c r="B1026" t="str">
        <v>2022-06-17</v>
      </c>
      <c r="C1026">
        <v>131.56</v>
      </c>
      <c r="D1026" s="2"/>
    </row>
    <row r="1027" spans="2:4" x14ac:dyDescent="0.3">
      <c r="B1027" t="str">
        <v>2022-06-16</v>
      </c>
      <c r="C1027">
        <v>130.06</v>
      </c>
      <c r="D1027" s="2"/>
    </row>
    <row r="1028" spans="2:4" x14ac:dyDescent="0.3">
      <c r="B1028" t="str">
        <v>2022-06-15</v>
      </c>
      <c r="C1028">
        <v>135.43</v>
      </c>
      <c r="D1028" s="2"/>
    </row>
    <row r="1029" spans="2:4" x14ac:dyDescent="0.3">
      <c r="B1029" t="str">
        <v>2022-06-14</v>
      </c>
      <c r="C1029">
        <v>132.76</v>
      </c>
      <c r="D1029" s="2"/>
    </row>
    <row r="1030" spans="2:4" x14ac:dyDescent="0.3">
      <c r="B1030" t="str">
        <v>2022-06-13</v>
      </c>
      <c r="C1030">
        <v>131.88</v>
      </c>
      <c r="D1030" s="2"/>
    </row>
    <row r="1031" spans="2:4" x14ac:dyDescent="0.3">
      <c r="B1031" t="str">
        <v>2022-06-10</v>
      </c>
      <c r="C1031">
        <v>137.13</v>
      </c>
      <c r="D1031" s="2"/>
    </row>
    <row r="1032" spans="2:4" x14ac:dyDescent="0.3">
      <c r="B1032" t="str">
        <v>2022-06-09</v>
      </c>
      <c r="C1032">
        <v>142.63999999999999</v>
      </c>
      <c r="D1032" s="2"/>
    </row>
    <row r="1033" spans="2:4" x14ac:dyDescent="0.3">
      <c r="B1033" t="str">
        <v>2022-06-08</v>
      </c>
      <c r="C1033">
        <v>147.96</v>
      </c>
      <c r="D1033" s="2"/>
    </row>
    <row r="1034" spans="2:4" x14ac:dyDescent="0.3">
      <c r="B1034" t="str">
        <v>2022-06-07</v>
      </c>
      <c r="C1034">
        <v>148.71</v>
      </c>
      <c r="D1034" s="2"/>
    </row>
    <row r="1035" spans="2:4" x14ac:dyDescent="0.3">
      <c r="B1035" t="str">
        <v>2022-06-06</v>
      </c>
      <c r="C1035">
        <v>146.13999999999999</v>
      </c>
      <c r="D1035" s="2"/>
    </row>
    <row r="1036" spans="2:4" x14ac:dyDescent="0.3">
      <c r="B1036" t="str">
        <v>2022-06-03</v>
      </c>
      <c r="C1036">
        <v>145.38</v>
      </c>
      <c r="D1036" s="2"/>
    </row>
    <row r="1037" spans="2:4" x14ac:dyDescent="0.3">
      <c r="B1037" t="str">
        <v>2022-06-02</v>
      </c>
      <c r="C1037">
        <v>151.21</v>
      </c>
      <c r="D1037" s="2"/>
    </row>
    <row r="1038" spans="2:4" x14ac:dyDescent="0.3">
      <c r="B1038" t="str">
        <v>2022-06-01</v>
      </c>
      <c r="C1038">
        <v>148.71</v>
      </c>
      <c r="D1038" s="2"/>
    </row>
    <row r="1039" spans="2:4" x14ac:dyDescent="0.3">
      <c r="B1039" t="str">
        <v>2022-05-31</v>
      </c>
      <c r="C1039">
        <v>148.84</v>
      </c>
      <c r="D1039" s="2"/>
    </row>
    <row r="1040" spans="2:4" x14ac:dyDescent="0.3">
      <c r="B1040" t="str">
        <v>2022-05-27</v>
      </c>
      <c r="C1040">
        <v>149.63999999999999</v>
      </c>
      <c r="D1040" s="2"/>
    </row>
    <row r="1041" spans="2:4" x14ac:dyDescent="0.3">
      <c r="B1041" t="str">
        <v>2022-05-26</v>
      </c>
      <c r="C1041">
        <v>143.78</v>
      </c>
      <c r="D1041" s="2"/>
    </row>
    <row r="1042" spans="2:4" x14ac:dyDescent="0.3">
      <c r="B1042" t="str">
        <v>2022-05-25</v>
      </c>
      <c r="C1042">
        <v>140.52000000000001</v>
      </c>
      <c r="D1042" s="2"/>
    </row>
    <row r="1043" spans="2:4" x14ac:dyDescent="0.3">
      <c r="B1043" t="str">
        <v>2022-05-24</v>
      </c>
      <c r="C1043">
        <v>140.36000000000001</v>
      </c>
      <c r="D1043" s="2"/>
    </row>
    <row r="1044" spans="2:4" x14ac:dyDescent="0.3">
      <c r="B1044" t="str">
        <v>2022-05-23</v>
      </c>
      <c r="C1044">
        <v>143.11000000000001</v>
      </c>
      <c r="D1044" s="2"/>
    </row>
    <row r="1045" spans="2:4" x14ac:dyDescent="0.3">
      <c r="B1045" t="str">
        <v>2022-05-20</v>
      </c>
      <c r="C1045">
        <v>137.59</v>
      </c>
      <c r="D1045" s="2"/>
    </row>
    <row r="1046" spans="2:4" x14ac:dyDescent="0.3">
      <c r="B1046" t="str">
        <v>2022-05-19</v>
      </c>
      <c r="C1046">
        <v>137.35</v>
      </c>
      <c r="D1046" s="2"/>
    </row>
    <row r="1047" spans="2:4" x14ac:dyDescent="0.3">
      <c r="B1047" t="str">
        <v>2022-05-18</v>
      </c>
      <c r="C1047">
        <v>140.82</v>
      </c>
      <c r="D1047" s="2"/>
    </row>
    <row r="1048" spans="2:4" x14ac:dyDescent="0.3">
      <c r="B1048" t="str">
        <v>2022-05-17</v>
      </c>
      <c r="C1048">
        <v>149.24</v>
      </c>
      <c r="D1048" s="2"/>
    </row>
    <row r="1049" spans="2:4" x14ac:dyDescent="0.3">
      <c r="B1049" t="str">
        <v>2022-05-16</v>
      </c>
      <c r="C1049">
        <v>145.54</v>
      </c>
      <c r="D1049" s="2"/>
    </row>
    <row r="1050" spans="2:4" x14ac:dyDescent="0.3">
      <c r="B1050" t="str">
        <v>2022-05-13</v>
      </c>
      <c r="C1050">
        <v>147.11000000000001</v>
      </c>
      <c r="D1050" s="2"/>
    </row>
    <row r="1051" spans="2:4" x14ac:dyDescent="0.3">
      <c r="B1051" t="str">
        <v>2022-05-12</v>
      </c>
      <c r="C1051">
        <v>142.56</v>
      </c>
      <c r="D1051" s="2"/>
    </row>
    <row r="1052" spans="2:4" x14ac:dyDescent="0.3">
      <c r="B1052" t="str">
        <v>2022-05-11</v>
      </c>
      <c r="C1052">
        <v>146.5</v>
      </c>
      <c r="D1052" s="2"/>
    </row>
    <row r="1053" spans="2:4" x14ac:dyDescent="0.3">
      <c r="B1053" t="str">
        <v>2022-05-10</v>
      </c>
      <c r="C1053">
        <v>154.51</v>
      </c>
      <c r="D1053" s="2"/>
    </row>
    <row r="1054" spans="2:4" x14ac:dyDescent="0.3">
      <c r="B1054" t="str">
        <v>2022-05-09</v>
      </c>
      <c r="C1054">
        <v>152.06</v>
      </c>
      <c r="D1054" s="2"/>
    </row>
    <row r="1055" spans="2:4" x14ac:dyDescent="0.3">
      <c r="B1055" t="str">
        <v>2022-05-06</v>
      </c>
      <c r="C1055">
        <v>157.28</v>
      </c>
      <c r="D1055" s="2"/>
    </row>
    <row r="1056" spans="2:4" x14ac:dyDescent="0.3">
      <c r="B1056" t="str">
        <v>2022-05-05</v>
      </c>
      <c r="C1056">
        <v>156.77000000000001</v>
      </c>
      <c r="D1056" s="2"/>
    </row>
    <row r="1057" spans="2:4" x14ac:dyDescent="0.3">
      <c r="B1057" t="str">
        <v>2022-05-04</v>
      </c>
      <c r="C1057">
        <v>166.02</v>
      </c>
      <c r="D1057" s="2"/>
    </row>
    <row r="1058" spans="2:4" x14ac:dyDescent="0.3">
      <c r="B1058" t="str">
        <v>2022-05-03</v>
      </c>
      <c r="C1058">
        <v>159.47999999999999</v>
      </c>
      <c r="D1058" s="2"/>
    </row>
    <row r="1059" spans="2:4" x14ac:dyDescent="0.3">
      <c r="B1059" t="str">
        <v>2022-05-02</v>
      </c>
      <c r="C1059">
        <v>157.96</v>
      </c>
      <c r="D1059" s="2"/>
    </row>
    <row r="1060" spans="2:4" x14ac:dyDescent="0.3">
      <c r="B1060" t="str">
        <v>2022-04-29</v>
      </c>
      <c r="C1060">
        <v>157.65</v>
      </c>
      <c r="D1060" s="2"/>
    </row>
    <row r="1061" spans="2:4" x14ac:dyDescent="0.3">
      <c r="B1061" t="str">
        <v>2022-04-28</v>
      </c>
      <c r="C1061">
        <v>163.63999999999999</v>
      </c>
      <c r="D1061" s="2"/>
    </row>
    <row r="1062" spans="2:4" x14ac:dyDescent="0.3">
      <c r="B1062" t="str">
        <v>2022-04-27</v>
      </c>
      <c r="C1062">
        <v>156.57</v>
      </c>
      <c r="D1062" s="2"/>
    </row>
    <row r="1063" spans="2:4" x14ac:dyDescent="0.3">
      <c r="B1063" t="str">
        <v>2022-04-26</v>
      </c>
      <c r="C1063">
        <v>156.80000000000001</v>
      </c>
      <c r="D1063" s="2"/>
    </row>
    <row r="1064" spans="2:4" x14ac:dyDescent="0.3">
      <c r="B1064" t="str">
        <v>2022-04-25</v>
      </c>
      <c r="C1064">
        <v>162.88</v>
      </c>
      <c r="D1064" s="2"/>
    </row>
    <row r="1065" spans="2:4" x14ac:dyDescent="0.3">
      <c r="B1065" t="str">
        <v>2022-04-22</v>
      </c>
      <c r="C1065">
        <v>161.79</v>
      </c>
      <c r="D1065" s="2"/>
    </row>
    <row r="1066" spans="2:4" x14ac:dyDescent="0.3">
      <c r="B1066" t="str">
        <v>2022-04-21</v>
      </c>
      <c r="C1066">
        <v>166.42</v>
      </c>
      <c r="D1066" s="2"/>
    </row>
    <row r="1067" spans="2:4" x14ac:dyDescent="0.3">
      <c r="B1067" t="str">
        <v>2022-04-20</v>
      </c>
      <c r="C1067">
        <v>167.23</v>
      </c>
      <c r="D1067" s="2"/>
    </row>
    <row r="1068" spans="2:4" x14ac:dyDescent="0.3">
      <c r="B1068" t="str">
        <v>2022-04-19</v>
      </c>
      <c r="C1068">
        <v>167.4</v>
      </c>
      <c r="D1068" s="2"/>
    </row>
    <row r="1069" spans="2:4" x14ac:dyDescent="0.3">
      <c r="B1069" t="str">
        <v>2022-04-18</v>
      </c>
      <c r="C1069">
        <v>165.07</v>
      </c>
      <c r="D1069" s="2"/>
    </row>
    <row r="1070" spans="2:4" x14ac:dyDescent="0.3">
      <c r="B1070" t="str">
        <v>2022-04-14</v>
      </c>
      <c r="C1070">
        <v>165.29</v>
      </c>
      <c r="D1070" s="2"/>
    </row>
    <row r="1071" spans="2:4" x14ac:dyDescent="0.3">
      <c r="B1071" t="str">
        <v>2022-04-13</v>
      </c>
      <c r="C1071">
        <v>170.4</v>
      </c>
      <c r="D1071" s="2"/>
    </row>
    <row r="1072" spans="2:4" x14ac:dyDescent="0.3">
      <c r="B1072" t="str">
        <v>2022-04-12</v>
      </c>
      <c r="C1072">
        <v>167.66</v>
      </c>
      <c r="D1072" s="2"/>
    </row>
    <row r="1073" spans="2:4" x14ac:dyDescent="0.3">
      <c r="B1073" t="str">
        <v>2022-04-11</v>
      </c>
      <c r="C1073">
        <v>165.75</v>
      </c>
      <c r="D1073" s="2"/>
    </row>
    <row r="1074" spans="2:4" x14ac:dyDescent="0.3">
      <c r="B1074" t="str">
        <v>2022-04-08</v>
      </c>
      <c r="C1074">
        <v>170.09</v>
      </c>
      <c r="D1074" s="2"/>
    </row>
    <row r="1075" spans="2:4" x14ac:dyDescent="0.3">
      <c r="B1075" t="str">
        <v>2022-04-07</v>
      </c>
      <c r="C1075">
        <v>172.14</v>
      </c>
      <c r="D1075" s="2"/>
    </row>
    <row r="1076" spans="2:4" x14ac:dyDescent="0.3">
      <c r="B1076" t="str">
        <v>2022-04-06</v>
      </c>
      <c r="C1076">
        <v>171.83</v>
      </c>
      <c r="D1076" s="2"/>
    </row>
    <row r="1077" spans="2:4" x14ac:dyDescent="0.3">
      <c r="B1077" t="str">
        <v>2022-04-05</v>
      </c>
      <c r="C1077">
        <v>175.06</v>
      </c>
      <c r="D1077" s="2"/>
    </row>
    <row r="1078" spans="2:4" x14ac:dyDescent="0.3">
      <c r="B1078" t="str">
        <v>2022-04-04</v>
      </c>
      <c r="C1078">
        <v>178.44</v>
      </c>
      <c r="D1078" s="2"/>
    </row>
    <row r="1079" spans="2:4" x14ac:dyDescent="0.3">
      <c r="B1079" t="str">
        <v>2022-04-01</v>
      </c>
      <c r="C1079">
        <v>174.31</v>
      </c>
      <c r="D1079" s="2"/>
    </row>
    <row r="1080" spans="2:4" x14ac:dyDescent="0.3">
      <c r="B1080" t="str">
        <v>2022-03-31</v>
      </c>
      <c r="C1080">
        <v>174.61</v>
      </c>
      <c r="D1080" s="2"/>
    </row>
    <row r="1081" spans="2:4" x14ac:dyDescent="0.3">
      <c r="B1081" t="str">
        <v>2022-03-30</v>
      </c>
      <c r="C1081">
        <v>177.77</v>
      </c>
      <c r="D1081" s="2"/>
    </row>
    <row r="1082" spans="2:4" x14ac:dyDescent="0.3">
      <c r="B1082" t="str">
        <v>2022-03-29</v>
      </c>
      <c r="C1082">
        <v>178.96</v>
      </c>
      <c r="D1082" s="2"/>
    </row>
    <row r="1083" spans="2:4" x14ac:dyDescent="0.3">
      <c r="B1083" t="str">
        <v>2022-03-28</v>
      </c>
      <c r="C1083">
        <v>175.6</v>
      </c>
      <c r="D1083" s="2"/>
    </row>
    <row r="1084" spans="2:4" x14ac:dyDescent="0.3">
      <c r="B1084" t="str">
        <v>2022-03-25</v>
      </c>
      <c r="C1084">
        <v>174.72</v>
      </c>
      <c r="D1084" s="2"/>
    </row>
    <row r="1085" spans="2:4" x14ac:dyDescent="0.3">
      <c r="B1085" t="str">
        <v>2022-03-24</v>
      </c>
      <c r="C1085">
        <v>174.07</v>
      </c>
      <c r="D1085" s="2"/>
    </row>
    <row r="1086" spans="2:4" x14ac:dyDescent="0.3">
      <c r="B1086" t="str">
        <v>2022-03-23</v>
      </c>
      <c r="C1086">
        <v>170.21</v>
      </c>
      <c r="D1086" s="2"/>
    </row>
    <row r="1087" spans="2:4" x14ac:dyDescent="0.3">
      <c r="B1087" t="str">
        <v>2022-03-22</v>
      </c>
      <c r="C1087">
        <v>168.82</v>
      </c>
      <c r="D1087" s="2"/>
    </row>
    <row r="1088" spans="2:4" x14ac:dyDescent="0.3">
      <c r="B1088" t="str">
        <v>2022-03-21</v>
      </c>
      <c r="C1088">
        <v>165.38</v>
      </c>
      <c r="D1088" s="2"/>
    </row>
    <row r="1089" spans="2:4" x14ac:dyDescent="0.3">
      <c r="B1089" t="str">
        <v>2022-03-18</v>
      </c>
      <c r="C1089">
        <v>163.98</v>
      </c>
      <c r="D1089" s="2"/>
    </row>
    <row r="1090" spans="2:4" x14ac:dyDescent="0.3">
      <c r="B1090" t="str">
        <v>2022-03-17</v>
      </c>
      <c r="C1090">
        <v>160.62</v>
      </c>
      <c r="D1090" s="2"/>
    </row>
    <row r="1091" spans="2:4" x14ac:dyDescent="0.3">
      <c r="B1091" t="str">
        <v>2022-03-16</v>
      </c>
      <c r="C1091">
        <v>159.59</v>
      </c>
      <c r="D1091" s="2"/>
    </row>
    <row r="1092" spans="2:4" x14ac:dyDescent="0.3">
      <c r="B1092" t="str">
        <v>2022-03-15</v>
      </c>
      <c r="C1092">
        <v>155.09</v>
      </c>
      <c r="D1092" s="2"/>
    </row>
    <row r="1093" spans="2:4" x14ac:dyDescent="0.3">
      <c r="B1093" t="str">
        <v>2022-03-14</v>
      </c>
      <c r="C1093">
        <v>150.62</v>
      </c>
      <c r="D1093" s="2"/>
    </row>
    <row r="1094" spans="2:4" x14ac:dyDescent="0.3">
      <c r="B1094" t="str">
        <v>2022-03-11</v>
      </c>
      <c r="C1094">
        <v>154.72999999999999</v>
      </c>
      <c r="D1094" s="2"/>
    </row>
    <row r="1095" spans="2:4" x14ac:dyDescent="0.3">
      <c r="B1095" t="str">
        <v>2022-03-10</v>
      </c>
      <c r="C1095">
        <v>158.52000000000001</v>
      </c>
      <c r="D1095" s="2"/>
    </row>
    <row r="1096" spans="2:4" x14ac:dyDescent="0.3">
      <c r="B1096" t="str">
        <v>2022-03-09</v>
      </c>
      <c r="C1096">
        <v>162.94999999999999</v>
      </c>
      <c r="D1096" s="2"/>
    </row>
    <row r="1097" spans="2:4" x14ac:dyDescent="0.3">
      <c r="B1097" t="str">
        <v>2022-03-08</v>
      </c>
      <c r="C1097">
        <v>157.44</v>
      </c>
      <c r="D1097" s="2"/>
    </row>
    <row r="1098" spans="2:4" x14ac:dyDescent="0.3">
      <c r="B1098" t="str">
        <v>2022-03-07</v>
      </c>
      <c r="C1098">
        <v>159.30000000000001</v>
      </c>
      <c r="D1098" s="2"/>
    </row>
    <row r="1099" spans="2:4" x14ac:dyDescent="0.3">
      <c r="B1099" t="str">
        <v>2022-03-04</v>
      </c>
      <c r="C1099">
        <v>163.16999999999999</v>
      </c>
      <c r="D1099" s="2"/>
    </row>
    <row r="1100" spans="2:4" x14ac:dyDescent="0.3">
      <c r="B1100" t="str">
        <v>2022-03-03</v>
      </c>
      <c r="C1100">
        <v>166.23</v>
      </c>
      <c r="D1100" s="2"/>
    </row>
    <row r="1101" spans="2:4" x14ac:dyDescent="0.3">
      <c r="B1101" t="str">
        <v>2022-03-02</v>
      </c>
      <c r="C1101">
        <v>166.56</v>
      </c>
      <c r="D1101" s="2"/>
    </row>
    <row r="1102" spans="2:4" x14ac:dyDescent="0.3">
      <c r="B1102" t="str">
        <v>2022-03-01</v>
      </c>
      <c r="C1102">
        <v>163.19999999999999</v>
      </c>
      <c r="D1102" s="2"/>
    </row>
    <row r="1103" spans="2:4" x14ac:dyDescent="0.3">
      <c r="B1103" t="str">
        <v>2022-02-28</v>
      </c>
      <c r="C1103">
        <v>165.12</v>
      </c>
      <c r="D1103" s="2"/>
    </row>
    <row r="1104" spans="2:4" x14ac:dyDescent="0.3">
      <c r="B1104" t="str">
        <v>2022-02-25</v>
      </c>
      <c r="C1104">
        <v>164.85</v>
      </c>
      <c r="D1104" s="2"/>
    </row>
    <row r="1105" spans="2:4" x14ac:dyDescent="0.3">
      <c r="B1105" t="str">
        <v>2022-02-24</v>
      </c>
      <c r="C1105">
        <v>162.74</v>
      </c>
      <c r="D1105" s="2"/>
    </row>
    <row r="1106" spans="2:4" x14ac:dyDescent="0.3">
      <c r="B1106" t="str">
        <v>2022-02-23</v>
      </c>
      <c r="C1106">
        <v>160.07</v>
      </c>
      <c r="D1106" s="2"/>
    </row>
    <row r="1107" spans="2:4" x14ac:dyDescent="0.3">
      <c r="B1107" t="str">
        <v>2022-02-22</v>
      </c>
      <c r="C1107">
        <v>164.32</v>
      </c>
      <c r="D1107" s="2"/>
    </row>
    <row r="1108" spans="2:4" x14ac:dyDescent="0.3">
      <c r="B1108" t="str">
        <v>2022-02-18</v>
      </c>
      <c r="C1108">
        <v>167.3</v>
      </c>
      <c r="D1108" s="2"/>
    </row>
    <row r="1109" spans="2:4" x14ac:dyDescent="0.3">
      <c r="B1109" t="str">
        <v>2022-02-17</v>
      </c>
      <c r="C1109">
        <v>168.88</v>
      </c>
      <c r="D1109" s="2"/>
    </row>
    <row r="1110" spans="2:4" x14ac:dyDescent="0.3">
      <c r="B1110" t="str">
        <v>2022-02-16</v>
      </c>
      <c r="C1110">
        <v>172.55</v>
      </c>
      <c r="D1110" s="2"/>
    </row>
    <row r="1111" spans="2:4" x14ac:dyDescent="0.3">
      <c r="B1111" t="str">
        <v>2022-02-15</v>
      </c>
      <c r="C1111">
        <v>172.79</v>
      </c>
      <c r="D1111" s="2"/>
    </row>
    <row r="1112" spans="2:4" x14ac:dyDescent="0.3">
      <c r="B1112" t="str">
        <v>2022-02-14</v>
      </c>
      <c r="C1112">
        <v>168.88</v>
      </c>
      <c r="D1112" s="2"/>
    </row>
    <row r="1113" spans="2:4" x14ac:dyDescent="0.3">
      <c r="B1113" t="str">
        <v>2022-02-11</v>
      </c>
      <c r="C1113">
        <v>168.64</v>
      </c>
      <c r="D1113" s="2"/>
    </row>
    <row r="1114" spans="2:4" x14ac:dyDescent="0.3">
      <c r="B1114" t="str">
        <v>2022-02-10</v>
      </c>
      <c r="C1114">
        <v>172.12</v>
      </c>
      <c r="D1114" s="2"/>
    </row>
    <row r="1115" spans="2:4" x14ac:dyDescent="0.3">
      <c r="B1115" t="str">
        <v>2022-02-09</v>
      </c>
      <c r="C1115">
        <v>176.28</v>
      </c>
      <c r="D1115" s="2"/>
    </row>
    <row r="1116" spans="2:4" x14ac:dyDescent="0.3">
      <c r="B1116" t="str">
        <v>2022-02-08</v>
      </c>
      <c r="C1116">
        <v>174.83</v>
      </c>
      <c r="D1116" s="2"/>
    </row>
    <row r="1117" spans="2:4" x14ac:dyDescent="0.3">
      <c r="B1117" t="str">
        <v>2022-02-07</v>
      </c>
      <c r="C1117">
        <v>171.66</v>
      </c>
      <c r="D1117" s="2"/>
    </row>
    <row r="1118" spans="2:4" x14ac:dyDescent="0.3">
      <c r="B1118" t="str">
        <v>2022-02-04</v>
      </c>
      <c r="C1118">
        <v>172.39</v>
      </c>
      <c r="D1118" s="2"/>
    </row>
    <row r="1119" spans="2:4" x14ac:dyDescent="0.3">
      <c r="B1119" t="str">
        <v>2022-02-03</v>
      </c>
      <c r="C1119">
        <v>172.9</v>
      </c>
      <c r="D1119" s="2"/>
    </row>
    <row r="1120" spans="2:4" x14ac:dyDescent="0.3">
      <c r="B1120" t="str">
        <v>2022-02-02</v>
      </c>
      <c r="C1120">
        <v>175.84</v>
      </c>
      <c r="D1120" s="2"/>
    </row>
    <row r="1121" spans="2:4" x14ac:dyDescent="0.3">
      <c r="B1121" t="str">
        <v>2022-02-01</v>
      </c>
      <c r="C1121">
        <v>174.61</v>
      </c>
      <c r="D1121" s="2"/>
    </row>
    <row r="1122" spans="2:4" x14ac:dyDescent="0.3">
      <c r="B1122" t="str">
        <v>2022-01-31</v>
      </c>
      <c r="C1122">
        <v>174.78</v>
      </c>
      <c r="D1122" s="2"/>
    </row>
    <row r="1123" spans="2:4" x14ac:dyDescent="0.3">
      <c r="B1123" t="str">
        <v>2022-01-28</v>
      </c>
      <c r="C1123">
        <v>170.33</v>
      </c>
      <c r="D1123" s="2"/>
    </row>
    <row r="1124" spans="2:4" x14ac:dyDescent="0.3">
      <c r="B1124" t="str">
        <v>2022-01-27</v>
      </c>
      <c r="C1124">
        <v>159.22</v>
      </c>
      <c r="D1124" s="2"/>
    </row>
    <row r="1125" spans="2:4" x14ac:dyDescent="0.3">
      <c r="B1125" t="str">
        <v>2022-01-26</v>
      </c>
      <c r="C1125">
        <v>159.69</v>
      </c>
      <c r="D1125" s="2"/>
    </row>
    <row r="1126" spans="2:4" x14ac:dyDescent="0.3">
      <c r="B1126" t="str">
        <v>2022-01-25</v>
      </c>
      <c r="C1126">
        <v>159.78</v>
      </c>
      <c r="D1126" s="2"/>
    </row>
    <row r="1127" spans="2:4" x14ac:dyDescent="0.3">
      <c r="B1127" t="str">
        <v>2022-01-24</v>
      </c>
      <c r="C1127">
        <v>161.62</v>
      </c>
      <c r="D1127" s="2"/>
    </row>
    <row r="1128" spans="2:4" x14ac:dyDescent="0.3">
      <c r="B1128" t="str">
        <v>2022-01-21</v>
      </c>
      <c r="C1128">
        <v>162.41</v>
      </c>
      <c r="D1128" s="2"/>
    </row>
    <row r="1129" spans="2:4" x14ac:dyDescent="0.3">
      <c r="B1129" t="str">
        <v>2022-01-20</v>
      </c>
      <c r="C1129">
        <v>164.51</v>
      </c>
      <c r="D1129" s="2"/>
    </row>
    <row r="1130" spans="2:4" x14ac:dyDescent="0.3">
      <c r="B1130" t="str">
        <v>2022-01-19</v>
      </c>
      <c r="C1130">
        <v>166.23</v>
      </c>
      <c r="D1130" s="2"/>
    </row>
    <row r="1131" spans="2:4" x14ac:dyDescent="0.3">
      <c r="B1131" t="str">
        <v>2022-01-18</v>
      </c>
      <c r="C1131">
        <v>169.8</v>
      </c>
      <c r="D1131" s="2"/>
    </row>
    <row r="1132" spans="2:4" x14ac:dyDescent="0.3">
      <c r="B1132" t="str">
        <v>2022-01-14</v>
      </c>
      <c r="C1132">
        <v>173.07</v>
      </c>
      <c r="D1132" s="2"/>
    </row>
    <row r="1133" spans="2:4" x14ac:dyDescent="0.3">
      <c r="B1133" t="str">
        <v>2022-01-13</v>
      </c>
      <c r="C1133">
        <v>172.19</v>
      </c>
      <c r="D1133" s="2"/>
    </row>
    <row r="1134" spans="2:4" x14ac:dyDescent="0.3">
      <c r="B1134" t="str">
        <v>2022-01-12</v>
      </c>
      <c r="C1134">
        <v>175.53</v>
      </c>
      <c r="D1134" s="2"/>
    </row>
    <row r="1135" spans="2:4" x14ac:dyDescent="0.3">
      <c r="B1135" t="str">
        <v>2022-01-11</v>
      </c>
      <c r="C1135">
        <v>175.08</v>
      </c>
      <c r="D1135" s="2"/>
    </row>
    <row r="1136" spans="2:4" x14ac:dyDescent="0.3">
      <c r="B1136" t="str">
        <v>2022-01-10</v>
      </c>
      <c r="C1136">
        <v>172.19</v>
      </c>
      <c r="D1136" s="2"/>
    </row>
    <row r="1137" spans="2:4" x14ac:dyDescent="0.3">
      <c r="B1137" t="str">
        <v>2022-01-07</v>
      </c>
      <c r="C1137">
        <v>172.17</v>
      </c>
      <c r="D1137" s="2"/>
    </row>
    <row r="1138" spans="2:4" x14ac:dyDescent="0.3">
      <c r="B1138" t="str">
        <v>2022-01-06</v>
      </c>
      <c r="C1138">
        <v>172</v>
      </c>
      <c r="D1138" s="2"/>
    </row>
    <row r="1139" spans="2:4" x14ac:dyDescent="0.3">
      <c r="B1139" t="str">
        <v>2022-01-05</v>
      </c>
      <c r="C1139">
        <v>174.92</v>
      </c>
      <c r="D1139" s="2"/>
    </row>
    <row r="1140" spans="2:4" x14ac:dyDescent="0.3">
      <c r="B1140" t="str">
        <v>2022-01-04</v>
      </c>
      <c r="C1140">
        <v>179.7</v>
      </c>
      <c r="D1140" s="2"/>
    </row>
    <row r="1141" spans="2:4" x14ac:dyDescent="0.3">
      <c r="B1141" t="str">
        <v>2022-01-03</v>
      </c>
      <c r="C1141">
        <v>182.01</v>
      </c>
      <c r="D1141" s="2"/>
    </row>
    <row r="1142" spans="2:4" x14ac:dyDescent="0.3">
      <c r="B1142" t="str">
        <v>2021-12-31</v>
      </c>
      <c r="C1142">
        <v>177.57</v>
      </c>
      <c r="D1142" s="2"/>
    </row>
    <row r="1143" spans="2:4" x14ac:dyDescent="0.3">
      <c r="B1143" t="str">
        <v>2021-12-30</v>
      </c>
      <c r="C1143">
        <v>178.2</v>
      </c>
      <c r="D1143" s="2"/>
    </row>
    <row r="1144" spans="2:4" x14ac:dyDescent="0.3">
      <c r="B1144" t="str">
        <v>2021-12-29</v>
      </c>
      <c r="C1144">
        <v>179.38</v>
      </c>
      <c r="D1144" s="2"/>
    </row>
    <row r="1145" spans="2:4" x14ac:dyDescent="0.3">
      <c r="B1145" t="str">
        <v>2021-12-28</v>
      </c>
      <c r="C1145">
        <v>179.29</v>
      </c>
      <c r="D1145" s="2"/>
    </row>
    <row r="1146" spans="2:4" x14ac:dyDescent="0.3">
      <c r="B1146" t="str">
        <v>2021-12-27</v>
      </c>
      <c r="C1146">
        <v>180.33</v>
      </c>
      <c r="D1146" s="2"/>
    </row>
    <row r="1147" spans="2:4" x14ac:dyDescent="0.3">
      <c r="B1147" t="str">
        <v>2021-12-23</v>
      </c>
      <c r="C1147">
        <v>176.28</v>
      </c>
      <c r="D1147" s="2"/>
    </row>
    <row r="1148" spans="2:4" x14ac:dyDescent="0.3">
      <c r="B1148" t="str">
        <v>2021-12-22</v>
      </c>
      <c r="C1148">
        <v>175.64</v>
      </c>
      <c r="D1148" s="2"/>
    </row>
    <row r="1149" spans="2:4" x14ac:dyDescent="0.3">
      <c r="B1149" t="str">
        <v>2021-12-21</v>
      </c>
      <c r="C1149">
        <v>172.99</v>
      </c>
      <c r="D1149" s="2"/>
    </row>
    <row r="1150" spans="2:4" x14ac:dyDescent="0.3">
      <c r="B1150" t="str">
        <v>2021-12-20</v>
      </c>
      <c r="C1150">
        <v>169.75</v>
      </c>
      <c r="D1150" s="2"/>
    </row>
    <row r="1151" spans="2:4" x14ac:dyDescent="0.3">
      <c r="B1151" t="str">
        <v>2021-12-17</v>
      </c>
      <c r="C1151">
        <v>171.14</v>
      </c>
      <c r="D1151" s="2"/>
    </row>
    <row r="1152" spans="2:4" x14ac:dyDescent="0.3">
      <c r="B1152" t="str">
        <v>2021-12-16</v>
      </c>
      <c r="C1152">
        <v>172.26</v>
      </c>
      <c r="D1152" s="2"/>
    </row>
    <row r="1153" spans="2:4" x14ac:dyDescent="0.3">
      <c r="B1153" t="str">
        <v>2021-12-15</v>
      </c>
      <c r="C1153">
        <v>179.3</v>
      </c>
      <c r="D1153" s="2"/>
    </row>
    <row r="1154" spans="2:4" x14ac:dyDescent="0.3">
      <c r="B1154" t="str">
        <v>2021-12-14</v>
      </c>
      <c r="C1154">
        <v>174.33</v>
      </c>
      <c r="D1154" s="2"/>
    </row>
    <row r="1155" spans="2:4" x14ac:dyDescent="0.3">
      <c r="B1155" t="str">
        <v>2021-12-13</v>
      </c>
      <c r="C1155">
        <v>175.74</v>
      </c>
      <c r="D1155" s="2"/>
    </row>
    <row r="1156" spans="2:4" x14ac:dyDescent="0.3">
      <c r="B1156" t="str">
        <v>2021-12-10</v>
      </c>
      <c r="C1156">
        <v>179.45</v>
      </c>
      <c r="D1156" s="2"/>
    </row>
    <row r="1157" spans="2:4" x14ac:dyDescent="0.3">
      <c r="B1157" t="str">
        <v>2021-12-09</v>
      </c>
      <c r="C1157">
        <v>174.56</v>
      </c>
      <c r="D1157" s="2"/>
    </row>
    <row r="1158" spans="2:4" x14ac:dyDescent="0.3">
      <c r="B1158" t="str">
        <v>2021-12-08</v>
      </c>
      <c r="C1158">
        <v>175.08</v>
      </c>
      <c r="D1158" s="2"/>
    </row>
    <row r="1159" spans="2:4" x14ac:dyDescent="0.3">
      <c r="B1159" t="str">
        <v>2021-12-07</v>
      </c>
      <c r="C1159">
        <v>171.18</v>
      </c>
      <c r="D1159" s="2"/>
    </row>
    <row r="1160" spans="2:4" x14ac:dyDescent="0.3">
      <c r="B1160" t="str">
        <v>2021-12-06</v>
      </c>
      <c r="C1160">
        <v>165.32</v>
      </c>
      <c r="D1160" s="2"/>
    </row>
    <row r="1161" spans="2:4" x14ac:dyDescent="0.3">
      <c r="B1161" t="str">
        <v>2021-12-03</v>
      </c>
      <c r="C1161">
        <v>161.84</v>
      </c>
      <c r="D1161" s="2"/>
    </row>
    <row r="1162" spans="2:4" x14ac:dyDescent="0.3">
      <c r="B1162" t="str">
        <v>2021-12-02</v>
      </c>
      <c r="C1162">
        <v>163.76</v>
      </c>
      <c r="D1162" s="2"/>
    </row>
    <row r="1163" spans="2:4" x14ac:dyDescent="0.3">
      <c r="B1163" t="str">
        <v>2021-12-01</v>
      </c>
      <c r="C1163">
        <v>164.77</v>
      </c>
      <c r="D1163" s="2"/>
    </row>
    <row r="1164" spans="2:4" x14ac:dyDescent="0.3">
      <c r="B1164" t="str">
        <v>2021-11-30</v>
      </c>
      <c r="C1164">
        <v>165.3</v>
      </c>
      <c r="D1164" s="2"/>
    </row>
    <row r="1165" spans="2:4" x14ac:dyDescent="0.3">
      <c r="B1165" t="str">
        <v>2021-11-29</v>
      </c>
      <c r="C1165">
        <v>160.24</v>
      </c>
      <c r="D1165" s="2"/>
    </row>
    <row r="1166" spans="2:4" x14ac:dyDescent="0.3">
      <c r="B1166" t="str">
        <v>2021-11-26</v>
      </c>
      <c r="C1166">
        <v>156.81</v>
      </c>
      <c r="D1166" s="2"/>
    </row>
    <row r="1167" spans="2:4" x14ac:dyDescent="0.3">
      <c r="B1167" t="str">
        <v>2021-11-24</v>
      </c>
      <c r="C1167">
        <v>161.94</v>
      </c>
      <c r="D1167" s="2"/>
    </row>
    <row r="1168" spans="2:4" x14ac:dyDescent="0.3">
      <c r="B1168" t="str">
        <v>2021-11-23</v>
      </c>
      <c r="C1168">
        <v>161.41</v>
      </c>
      <c r="D1168" s="2"/>
    </row>
    <row r="1169" spans="2:4" x14ac:dyDescent="0.3">
      <c r="B1169" t="str">
        <v>2021-11-22</v>
      </c>
      <c r="C1169">
        <v>161.02000000000001</v>
      </c>
      <c r="D1169" s="2"/>
    </row>
    <row r="1170" spans="2:4" x14ac:dyDescent="0.3">
      <c r="B1170" t="str">
        <v>2021-11-19</v>
      </c>
      <c r="C1170">
        <v>160.55000000000001</v>
      </c>
      <c r="D1170" s="2"/>
    </row>
    <row r="1171" spans="2:4" x14ac:dyDescent="0.3">
      <c r="B1171" t="str">
        <v>2021-11-18</v>
      </c>
      <c r="C1171">
        <v>157.87</v>
      </c>
      <c r="D1171" s="2"/>
    </row>
    <row r="1172" spans="2:4" x14ac:dyDescent="0.3">
      <c r="B1172" t="str">
        <v>2021-11-17</v>
      </c>
      <c r="C1172">
        <v>153.49</v>
      </c>
      <c r="D1172" s="2"/>
    </row>
    <row r="1173" spans="2:4" x14ac:dyDescent="0.3">
      <c r="B1173" t="str">
        <v>2021-11-16</v>
      </c>
      <c r="C1173">
        <v>151</v>
      </c>
      <c r="D1173" s="2"/>
    </row>
    <row r="1174" spans="2:4" x14ac:dyDescent="0.3">
      <c r="B1174" t="str">
        <v>2021-11-15</v>
      </c>
      <c r="C1174">
        <v>150</v>
      </c>
      <c r="D1174" s="2"/>
    </row>
    <row r="1175" spans="2:4" x14ac:dyDescent="0.3">
      <c r="B1175" t="str">
        <v>2021-11-12</v>
      </c>
      <c r="C1175">
        <v>149.99</v>
      </c>
      <c r="D1175" s="2"/>
    </row>
    <row r="1176" spans="2:4" x14ac:dyDescent="0.3">
      <c r="B1176" t="str">
        <v>2021-11-11</v>
      </c>
      <c r="C1176">
        <v>147.87</v>
      </c>
      <c r="D1176" s="2"/>
    </row>
    <row r="1177" spans="2:4" x14ac:dyDescent="0.3">
      <c r="B1177" t="str">
        <v>2021-11-10</v>
      </c>
      <c r="C1177">
        <v>147.91999999999999</v>
      </c>
      <c r="D1177" s="2"/>
    </row>
    <row r="1178" spans="2:4" x14ac:dyDescent="0.3">
      <c r="B1178" t="str">
        <v>2021-11-09</v>
      </c>
      <c r="C1178">
        <v>150.81</v>
      </c>
      <c r="D1178" s="2"/>
    </row>
    <row r="1179" spans="2:4" x14ac:dyDescent="0.3">
      <c r="B1179" t="str">
        <v>2021-11-08</v>
      </c>
      <c r="C1179">
        <v>150.44</v>
      </c>
      <c r="D1179" s="2"/>
    </row>
    <row r="1180" spans="2:4" x14ac:dyDescent="0.3">
      <c r="B1180" t="str">
        <v>2021-11-05</v>
      </c>
      <c r="C1180">
        <v>151.28</v>
      </c>
      <c r="D1180" s="2"/>
    </row>
    <row r="1181" spans="2:4" x14ac:dyDescent="0.3">
      <c r="B1181" t="str">
        <v>2021-11-04</v>
      </c>
      <c r="C1181">
        <v>150.96</v>
      </c>
      <c r="D1181" s="2"/>
    </row>
    <row r="1182" spans="2:4" x14ac:dyDescent="0.3">
      <c r="B1182" t="str">
        <v>2021-11-03</v>
      </c>
      <c r="C1182">
        <v>151.49</v>
      </c>
      <c r="D1182" s="2"/>
    </row>
    <row r="1183" spans="2:4" x14ac:dyDescent="0.3">
      <c r="B1183" t="str">
        <v>2021-11-02</v>
      </c>
      <c r="C1183">
        <v>150.02000000000001</v>
      </c>
      <c r="D1183" s="2"/>
    </row>
    <row r="1184" spans="2:4" x14ac:dyDescent="0.3">
      <c r="B1184" t="str">
        <v>2021-11-01</v>
      </c>
      <c r="C1184">
        <v>148.96</v>
      </c>
      <c r="D1184" s="2"/>
    </row>
    <row r="1185" spans="2:4" x14ac:dyDescent="0.3">
      <c r="B1185" t="str">
        <v>2021-10-29</v>
      </c>
      <c r="C1185">
        <v>149.80000000000001</v>
      </c>
      <c r="D1185" s="2"/>
    </row>
    <row r="1186" spans="2:4" x14ac:dyDescent="0.3">
      <c r="B1186" t="str">
        <v>2021-10-28</v>
      </c>
      <c r="C1186">
        <v>152.57</v>
      </c>
      <c r="D1186" s="2"/>
    </row>
    <row r="1187" spans="2:4" x14ac:dyDescent="0.3">
      <c r="B1187" t="str">
        <v>2021-10-27</v>
      </c>
      <c r="C1187">
        <v>148.85</v>
      </c>
      <c r="D1187" s="2"/>
    </row>
    <row r="1188" spans="2:4" x14ac:dyDescent="0.3">
      <c r="B1188" t="str">
        <v>2021-10-26</v>
      </c>
      <c r="C1188">
        <v>149.32</v>
      </c>
      <c r="D1188" s="2"/>
    </row>
    <row r="1189" spans="2:4" x14ac:dyDescent="0.3">
      <c r="B1189" t="str">
        <v>2021-10-25</v>
      </c>
      <c r="C1189">
        <v>148.63999999999999</v>
      </c>
      <c r="D1189" s="2"/>
    </row>
    <row r="1190" spans="2:4" x14ac:dyDescent="0.3">
      <c r="B1190" t="str">
        <v>2021-10-22</v>
      </c>
      <c r="C1190">
        <v>148.69</v>
      </c>
      <c r="D1190" s="2"/>
    </row>
    <row r="1191" spans="2:4" x14ac:dyDescent="0.3">
      <c r="B1191" t="str">
        <v>2021-10-21</v>
      </c>
      <c r="C1191">
        <v>149.47999999999999</v>
      </c>
      <c r="D1191" s="2"/>
    </row>
    <row r="1192" spans="2:4" x14ac:dyDescent="0.3">
      <c r="B1192" t="str">
        <v>2021-10-20</v>
      </c>
      <c r="C1192">
        <v>149.26</v>
      </c>
      <c r="D1192" s="2"/>
    </row>
    <row r="1193" spans="2:4" x14ac:dyDescent="0.3">
      <c r="B1193" t="str">
        <v>2021-10-19</v>
      </c>
      <c r="C1193">
        <v>148.76</v>
      </c>
      <c r="D1193" s="2"/>
    </row>
    <row r="1194" spans="2:4" x14ac:dyDescent="0.3">
      <c r="B1194" t="str">
        <v>2021-10-18</v>
      </c>
      <c r="C1194">
        <v>146.55000000000001</v>
      </c>
      <c r="D1194" s="2"/>
    </row>
    <row r="1195" spans="2:4" x14ac:dyDescent="0.3">
      <c r="B1195" t="str">
        <v>2021-10-15</v>
      </c>
      <c r="C1195">
        <v>144.84</v>
      </c>
      <c r="D1195" s="2"/>
    </row>
    <row r="1196" spans="2:4" x14ac:dyDescent="0.3">
      <c r="B1196" t="str">
        <v>2021-10-14</v>
      </c>
      <c r="C1196">
        <v>143.76</v>
      </c>
      <c r="D1196" s="2"/>
    </row>
    <row r="1197" spans="2:4" x14ac:dyDescent="0.3">
      <c r="B1197" t="str">
        <v>2021-10-13</v>
      </c>
      <c r="C1197">
        <v>140.91</v>
      </c>
      <c r="D1197" s="2"/>
    </row>
    <row r="1198" spans="2:4" x14ac:dyDescent="0.3">
      <c r="B1198" t="str">
        <v>2021-10-12</v>
      </c>
      <c r="C1198">
        <v>141.51</v>
      </c>
      <c r="D1198" s="2"/>
    </row>
    <row r="1199" spans="2:4" x14ac:dyDescent="0.3">
      <c r="B1199" t="str">
        <v>2021-10-11</v>
      </c>
      <c r="C1199">
        <v>142.81</v>
      </c>
      <c r="D1199" s="2"/>
    </row>
    <row r="1200" spans="2:4" x14ac:dyDescent="0.3">
      <c r="B1200" t="str">
        <v>2021-10-08</v>
      </c>
      <c r="C1200">
        <v>142.9</v>
      </c>
      <c r="D1200" s="2"/>
    </row>
    <row r="1201" spans="2:4" x14ac:dyDescent="0.3">
      <c r="B1201" t="str">
        <v>2021-10-07</v>
      </c>
      <c r="C1201">
        <v>143.29</v>
      </c>
      <c r="D1201" s="2"/>
    </row>
    <row r="1202" spans="2:4" x14ac:dyDescent="0.3">
      <c r="B1202" t="str">
        <v>2021-10-06</v>
      </c>
      <c r="C1202">
        <v>142</v>
      </c>
      <c r="D1202" s="2"/>
    </row>
    <row r="1203" spans="2:4" x14ac:dyDescent="0.3">
      <c r="B1203" t="str">
        <v>2021-10-05</v>
      </c>
      <c r="C1203">
        <v>141.11000000000001</v>
      </c>
      <c r="D1203" s="2"/>
    </row>
    <row r="1204" spans="2:4" x14ac:dyDescent="0.3">
      <c r="B1204" t="str">
        <v>2021-10-04</v>
      </c>
      <c r="C1204">
        <v>139.13999999999999</v>
      </c>
      <c r="D1204" s="2"/>
    </row>
    <row r="1205" spans="2:4" x14ac:dyDescent="0.3">
      <c r="B1205" t="str">
        <v>2021-10-01</v>
      </c>
      <c r="C1205">
        <v>142.65</v>
      </c>
      <c r="D1205" s="2"/>
    </row>
    <row r="1206" spans="2:4" x14ac:dyDescent="0.3">
      <c r="B1206" t="str">
        <v>2021-09-30</v>
      </c>
      <c r="C1206">
        <v>141.5</v>
      </c>
      <c r="D1206" s="2"/>
    </row>
    <row r="1207" spans="2:4" x14ac:dyDescent="0.3">
      <c r="B1207" t="str">
        <v>2021-09-29</v>
      </c>
      <c r="C1207">
        <v>142.83000000000001</v>
      </c>
      <c r="D1207" s="2"/>
    </row>
    <row r="1208" spans="2:4" x14ac:dyDescent="0.3">
      <c r="B1208" t="str">
        <v>2021-09-28</v>
      </c>
      <c r="C1208">
        <v>141.91</v>
      </c>
      <c r="D1208" s="2"/>
    </row>
    <row r="1209" spans="2:4" x14ac:dyDescent="0.3">
      <c r="B1209" t="str">
        <v>2021-09-27</v>
      </c>
      <c r="C1209">
        <v>145.37</v>
      </c>
      <c r="D1209" s="2"/>
    </row>
    <row r="1210" spans="2:4" x14ac:dyDescent="0.3">
      <c r="B1210" t="str">
        <v>2021-09-24</v>
      </c>
      <c r="C1210">
        <v>146.91999999999999</v>
      </c>
      <c r="D1210" s="2"/>
    </row>
    <row r="1211" spans="2:4" x14ac:dyDescent="0.3">
      <c r="B1211" t="str">
        <v>2021-09-23</v>
      </c>
      <c r="C1211">
        <v>146.83000000000001</v>
      </c>
      <c r="D1211" s="2"/>
    </row>
    <row r="1212" spans="2:4" x14ac:dyDescent="0.3">
      <c r="B1212" t="str">
        <v>2021-09-22</v>
      </c>
      <c r="C1212">
        <v>145.85</v>
      </c>
      <c r="D1212" s="2"/>
    </row>
    <row r="1213" spans="2:4" x14ac:dyDescent="0.3">
      <c r="B1213" t="str">
        <v>2021-09-21</v>
      </c>
      <c r="C1213">
        <v>143.43</v>
      </c>
      <c r="D1213" s="2"/>
    </row>
    <row r="1214" spans="2:4" x14ac:dyDescent="0.3">
      <c r="B1214" t="str">
        <v>2021-09-20</v>
      </c>
      <c r="C1214">
        <v>142.94</v>
      </c>
      <c r="D1214" s="2"/>
    </row>
    <row r="1215" spans="2:4" x14ac:dyDescent="0.3">
      <c r="B1215" t="str">
        <v>2021-09-17</v>
      </c>
      <c r="C1215">
        <v>146.06</v>
      </c>
      <c r="D1215" s="2"/>
    </row>
    <row r="1216" spans="2:4" x14ac:dyDescent="0.3">
      <c r="B1216" t="str">
        <v>2021-09-16</v>
      </c>
      <c r="C1216">
        <v>148.79</v>
      </c>
      <c r="D1216" s="2"/>
    </row>
    <row r="1217" spans="2:4" x14ac:dyDescent="0.3">
      <c r="B1217" t="str">
        <v>2021-09-15</v>
      </c>
      <c r="C1217">
        <v>149.03</v>
      </c>
      <c r="D1217" s="2"/>
    </row>
    <row r="1218" spans="2:4" x14ac:dyDescent="0.3">
      <c r="B1218" t="str">
        <v>2021-09-14</v>
      </c>
      <c r="C1218">
        <v>148.12</v>
      </c>
      <c r="D1218" s="2"/>
    </row>
    <row r="1219" spans="2:4" x14ac:dyDescent="0.3">
      <c r="B1219" t="str">
        <v>2021-09-13</v>
      </c>
      <c r="C1219">
        <v>149.55000000000001</v>
      </c>
      <c r="D1219" s="2"/>
    </row>
    <row r="1220" spans="2:4" x14ac:dyDescent="0.3">
      <c r="B1220" t="str">
        <v>2021-09-10</v>
      </c>
      <c r="C1220">
        <v>148.97</v>
      </c>
      <c r="D1220" s="2"/>
    </row>
    <row r="1221" spans="2:4" x14ac:dyDescent="0.3">
      <c r="B1221" t="str">
        <v>2021-09-09</v>
      </c>
      <c r="C1221">
        <v>154.07</v>
      </c>
      <c r="D1221" s="2"/>
    </row>
    <row r="1222" spans="2:4" x14ac:dyDescent="0.3">
      <c r="B1222" t="str">
        <v>2021-09-08</v>
      </c>
      <c r="C1222">
        <v>155.11000000000001</v>
      </c>
      <c r="D1222" s="2"/>
    </row>
    <row r="1223" spans="2:4" x14ac:dyDescent="0.3">
      <c r="B1223" t="str">
        <v>2021-09-07</v>
      </c>
      <c r="C1223">
        <v>156.69</v>
      </c>
      <c r="D1223" s="2"/>
    </row>
    <row r="1224" spans="2:4" x14ac:dyDescent="0.3">
      <c r="B1224" t="str">
        <v>2021-09-03</v>
      </c>
      <c r="C1224">
        <v>154.30000000000001</v>
      </c>
      <c r="D1224" s="2"/>
    </row>
    <row r="1225" spans="2:4" x14ac:dyDescent="0.3">
      <c r="B1225" t="str">
        <v>2021-09-02</v>
      </c>
      <c r="C1225">
        <v>153.65</v>
      </c>
      <c r="D1225" s="2"/>
    </row>
    <row r="1226" spans="2:4" x14ac:dyDescent="0.3">
      <c r="B1226" t="str">
        <v>2021-09-01</v>
      </c>
      <c r="C1226">
        <v>152.51</v>
      </c>
      <c r="D1226" s="2"/>
    </row>
    <row r="1227" spans="2:4" x14ac:dyDescent="0.3">
      <c r="B1227" t="str">
        <v>2021-08-31</v>
      </c>
      <c r="C1227">
        <v>151.83000000000001</v>
      </c>
      <c r="D1227" s="2"/>
    </row>
    <row r="1228" spans="2:4" x14ac:dyDescent="0.3">
      <c r="B1228" t="str">
        <v>2021-08-30</v>
      </c>
      <c r="C1228">
        <v>153.12</v>
      </c>
      <c r="D1228" s="2"/>
    </row>
    <row r="1229" spans="2:4" x14ac:dyDescent="0.3">
      <c r="B1229" t="str">
        <v>2021-08-27</v>
      </c>
      <c r="C1229">
        <v>148.6</v>
      </c>
      <c r="D1229" s="2"/>
    </row>
    <row r="1230" spans="2:4" x14ac:dyDescent="0.3">
      <c r="B1230" t="str">
        <v>2021-08-26</v>
      </c>
      <c r="C1230">
        <v>147.54</v>
      </c>
      <c r="D1230" s="2"/>
    </row>
    <row r="1231" spans="2:4" x14ac:dyDescent="0.3">
      <c r="B1231" t="str">
        <v>2021-08-25</v>
      </c>
      <c r="C1231">
        <v>148.36000000000001</v>
      </c>
      <c r="D1231" s="2"/>
    </row>
    <row r="1232" spans="2:4" x14ac:dyDescent="0.3">
      <c r="B1232" t="str">
        <v>2021-08-24</v>
      </c>
      <c r="C1232">
        <v>149.62</v>
      </c>
      <c r="D1232" s="2"/>
    </row>
    <row r="1233" spans="2:4" x14ac:dyDescent="0.3">
      <c r="B1233" t="str">
        <v>2021-08-23</v>
      </c>
      <c r="C1233">
        <v>149.71</v>
      </c>
      <c r="D1233" s="2"/>
    </row>
    <row r="1234" spans="2:4" x14ac:dyDescent="0.3">
      <c r="B1234" t="str">
        <v>2021-08-20</v>
      </c>
      <c r="C1234">
        <v>148.19</v>
      </c>
      <c r="D1234" s="2"/>
    </row>
    <row r="1235" spans="2:4" x14ac:dyDescent="0.3">
      <c r="B1235" t="str">
        <v>2021-08-19</v>
      </c>
      <c r="C1235">
        <v>146.69999999999999</v>
      </c>
      <c r="D1235" s="2"/>
    </row>
    <row r="1236" spans="2:4" x14ac:dyDescent="0.3">
      <c r="B1236" t="str">
        <v>2021-08-18</v>
      </c>
      <c r="C1236">
        <v>146.36000000000001</v>
      </c>
      <c r="D1236" s="2"/>
    </row>
    <row r="1237" spans="2:4" x14ac:dyDescent="0.3">
      <c r="B1237" t="str">
        <v>2021-08-17</v>
      </c>
      <c r="C1237">
        <v>150.19</v>
      </c>
      <c r="D1237" s="2"/>
    </row>
    <row r="1238" spans="2:4" x14ac:dyDescent="0.3">
      <c r="B1238" t="str">
        <v>2021-08-16</v>
      </c>
      <c r="C1238">
        <v>151.12</v>
      </c>
      <c r="D1238" s="2"/>
    </row>
    <row r="1239" spans="2:4" x14ac:dyDescent="0.3">
      <c r="B1239" t="str">
        <v>2021-08-13</v>
      </c>
      <c r="C1239">
        <v>149.1</v>
      </c>
      <c r="D1239" s="2"/>
    </row>
    <row r="1240" spans="2:4" x14ac:dyDescent="0.3">
      <c r="B1240" t="str">
        <v>2021-08-12</v>
      </c>
      <c r="C1240">
        <v>148.88999999999999</v>
      </c>
      <c r="D1240" s="2"/>
    </row>
    <row r="1241" spans="2:4" x14ac:dyDescent="0.3">
      <c r="B1241" t="str">
        <v>2021-08-11</v>
      </c>
      <c r="C1241">
        <v>145.86000000000001</v>
      </c>
      <c r="D1241" s="2"/>
    </row>
    <row r="1242" spans="2:4" x14ac:dyDescent="0.3">
      <c r="B1242" t="str">
        <v>2021-08-10</v>
      </c>
      <c r="C1242">
        <v>145.6</v>
      </c>
      <c r="D1242" s="2"/>
    </row>
    <row r="1243" spans="2:4" x14ac:dyDescent="0.3">
      <c r="B1243" t="str">
        <v>2021-08-09</v>
      </c>
      <c r="C1243">
        <v>146.09</v>
      </c>
      <c r="D1243" s="2"/>
    </row>
    <row r="1244" spans="2:4" x14ac:dyDescent="0.3">
      <c r="B1244" t="str">
        <v>2021-08-06</v>
      </c>
      <c r="C1244">
        <v>146.13999999999999</v>
      </c>
      <c r="D1244" s="2"/>
    </row>
    <row r="1245" spans="2:4" x14ac:dyDescent="0.3">
      <c r="B1245" t="str">
        <v>2021-08-05</v>
      </c>
      <c r="C1245">
        <v>147.06</v>
      </c>
      <c r="D1245" s="2"/>
    </row>
    <row r="1246" spans="2:4" x14ac:dyDescent="0.3">
      <c r="B1246" t="str">
        <v>2021-08-04</v>
      </c>
      <c r="C1246">
        <v>146.94999999999999</v>
      </c>
      <c r="D1246" s="2"/>
    </row>
    <row r="1247" spans="2:4" x14ac:dyDescent="0.3">
      <c r="B1247" t="str">
        <v>2021-08-03</v>
      </c>
      <c r="C1247">
        <v>147.36000000000001</v>
      </c>
      <c r="D1247" s="2"/>
    </row>
    <row r="1248" spans="2:4" x14ac:dyDescent="0.3">
      <c r="B1248" t="str">
        <v>2021-08-02</v>
      </c>
      <c r="C1248">
        <v>145.52000000000001</v>
      </c>
      <c r="D1248" s="2"/>
    </row>
    <row r="1249" spans="2:4" x14ac:dyDescent="0.3">
      <c r="B1249" t="str">
        <v>2021-07-30</v>
      </c>
      <c r="C1249">
        <v>145.86000000000001</v>
      </c>
      <c r="D1249" s="2"/>
    </row>
    <row r="1250" spans="2:4" x14ac:dyDescent="0.3">
      <c r="B1250" t="str">
        <v>2021-07-29</v>
      </c>
      <c r="C1250">
        <v>145.63999999999999</v>
      </c>
      <c r="D1250" s="2"/>
    </row>
    <row r="1251" spans="2:4" x14ac:dyDescent="0.3">
      <c r="B1251" t="str">
        <v>2021-07-28</v>
      </c>
      <c r="C1251">
        <v>144.97999999999999</v>
      </c>
      <c r="D1251" s="2"/>
    </row>
    <row r="1252" spans="2:4" x14ac:dyDescent="0.3">
      <c r="B1252" t="str">
        <v>2021-07-27</v>
      </c>
      <c r="C1252">
        <v>146.77000000000001</v>
      </c>
      <c r="D1252" s="2"/>
    </row>
    <row r="1253" spans="2:4" x14ac:dyDescent="0.3">
      <c r="B1253" t="str">
        <v>2021-07-26</v>
      </c>
      <c r="C1253">
        <v>148.99</v>
      </c>
      <c r="D1253" s="2"/>
    </row>
    <row r="1254" spans="2:4" x14ac:dyDescent="0.3">
      <c r="B1254" t="str">
        <v>2021-07-23</v>
      </c>
      <c r="C1254">
        <v>148.56</v>
      </c>
      <c r="D1254" s="2"/>
    </row>
    <row r="1255" spans="2:4" x14ac:dyDescent="0.3">
      <c r="B1255" t="str">
        <v>2021-07-22</v>
      </c>
      <c r="C1255">
        <v>146.80000000000001</v>
      </c>
      <c r="D1255" s="2"/>
    </row>
    <row r="1256" spans="2:4" x14ac:dyDescent="0.3">
      <c r="B1256" t="str">
        <v>2021-07-21</v>
      </c>
      <c r="C1256">
        <v>145.4</v>
      </c>
      <c r="D1256" s="2"/>
    </row>
    <row r="1257" spans="2:4" x14ac:dyDescent="0.3">
      <c r="B1257" t="str">
        <v>2021-07-20</v>
      </c>
      <c r="C1257">
        <v>146.15</v>
      </c>
      <c r="D1257" s="2"/>
    </row>
    <row r="1258" spans="2:4" x14ac:dyDescent="0.3">
      <c r="B1258" t="str">
        <v>2021-07-19</v>
      </c>
      <c r="C1258">
        <v>142.44999999999999</v>
      </c>
      <c r="D1258" s="2"/>
    </row>
    <row r="1259" spans="2:4" x14ac:dyDescent="0.3">
      <c r="B1259" t="str">
        <v>2021-07-16</v>
      </c>
      <c r="C1259">
        <v>146.38999999999999</v>
      </c>
      <c r="D1259" s="2"/>
    </row>
    <row r="1260" spans="2:4" x14ac:dyDescent="0.3">
      <c r="B1260" t="str">
        <v>2021-07-15</v>
      </c>
      <c r="C1260">
        <v>148.47999999999999</v>
      </c>
      <c r="D1260" s="2"/>
    </row>
    <row r="1261" spans="2:4" x14ac:dyDescent="0.3">
      <c r="B1261" t="str">
        <v>2021-07-14</v>
      </c>
      <c r="C1261">
        <v>149.15</v>
      </c>
      <c r="D1261" s="2"/>
    </row>
    <row r="1262" spans="2:4" x14ac:dyDescent="0.3">
      <c r="B1262" t="str">
        <v>2021-07-13</v>
      </c>
      <c r="C1262">
        <v>145.63999999999999</v>
      </c>
      <c r="D1262" s="2"/>
    </row>
    <row r="1263" spans="2:4" x14ac:dyDescent="0.3">
      <c r="B1263" t="str">
        <v>2021-07-12</v>
      </c>
      <c r="C1263">
        <v>144.5</v>
      </c>
      <c r="D1263" s="2"/>
    </row>
    <row r="1264" spans="2:4" x14ac:dyDescent="0.3">
      <c r="B1264" t="str">
        <v>2021-07-09</v>
      </c>
      <c r="C1264">
        <v>145.11000000000001</v>
      </c>
      <c r="D1264" s="2"/>
    </row>
    <row r="1265" spans="2:4" x14ac:dyDescent="0.3">
      <c r="B1265" t="str">
        <v>2021-07-08</v>
      </c>
      <c r="C1265">
        <v>143.24</v>
      </c>
      <c r="D1265" s="2"/>
    </row>
    <row r="1266" spans="2:4" x14ac:dyDescent="0.3">
      <c r="B1266" t="str">
        <v>2021-07-07</v>
      </c>
      <c r="C1266">
        <v>144.57</v>
      </c>
      <c r="D1266" s="2"/>
    </row>
    <row r="1267" spans="2:4" x14ac:dyDescent="0.3">
      <c r="B1267" t="str">
        <v>2021-07-06</v>
      </c>
      <c r="C1267">
        <v>142.02000000000001</v>
      </c>
      <c r="D1267" s="2"/>
    </row>
    <row r="1268" spans="2:4" x14ac:dyDescent="0.3">
      <c r="B1268" t="str">
        <v>2021-07-02</v>
      </c>
      <c r="C1268">
        <v>139.96</v>
      </c>
      <c r="D1268" s="2"/>
    </row>
    <row r="1269" spans="2:4" x14ac:dyDescent="0.3">
      <c r="B1269" t="str">
        <v>2021-07-01</v>
      </c>
      <c r="C1269">
        <v>137.27000000000001</v>
      </c>
      <c r="D1269" s="2"/>
    </row>
    <row r="1270" spans="2:4" x14ac:dyDescent="0.3">
      <c r="B1270" t="str">
        <v>2021-06-30</v>
      </c>
      <c r="C1270">
        <v>136.96</v>
      </c>
      <c r="D1270" s="2"/>
    </row>
    <row r="1271" spans="2:4" x14ac:dyDescent="0.3">
      <c r="B1271" t="str">
        <v>2021-06-29</v>
      </c>
      <c r="C1271">
        <v>136.33000000000001</v>
      </c>
      <c r="D1271" s="2"/>
    </row>
    <row r="1272" spans="2:4" x14ac:dyDescent="0.3">
      <c r="B1272" t="str">
        <v>2021-06-28</v>
      </c>
      <c r="C1272">
        <v>134.78</v>
      </c>
      <c r="D1272" s="2"/>
    </row>
    <row r="1273" spans="2:4" x14ac:dyDescent="0.3">
      <c r="B1273" t="str">
        <v>2021-06-25</v>
      </c>
      <c r="C1273">
        <v>133.11000000000001</v>
      </c>
      <c r="D1273" s="2"/>
    </row>
    <row r="1274" spans="2:4" x14ac:dyDescent="0.3">
      <c r="B1274" t="str">
        <v>2021-06-24</v>
      </c>
      <c r="C1274">
        <v>133.41</v>
      </c>
      <c r="D1274" s="2"/>
    </row>
    <row r="1275" spans="2:4" x14ac:dyDescent="0.3">
      <c r="B1275" t="str">
        <v>2021-06-23</v>
      </c>
      <c r="C1275">
        <v>133.69999999999999</v>
      </c>
      <c r="D1275" s="2"/>
    </row>
    <row r="1276" spans="2:4" x14ac:dyDescent="0.3">
      <c r="B1276" t="str">
        <v>2021-06-22</v>
      </c>
      <c r="C1276">
        <v>133.97999999999999</v>
      </c>
      <c r="D1276" s="2"/>
    </row>
    <row r="1277" spans="2:4" x14ac:dyDescent="0.3">
      <c r="B1277" t="str">
        <v>2021-06-21</v>
      </c>
      <c r="C1277">
        <v>132.30000000000001</v>
      </c>
      <c r="D1277" s="2"/>
    </row>
    <row r="1278" spans="2:4" x14ac:dyDescent="0.3">
      <c r="B1278" t="str">
        <v>2021-06-18</v>
      </c>
      <c r="C1278">
        <v>130.46</v>
      </c>
      <c r="D1278" s="2"/>
    </row>
    <row r="1279" spans="2:4" x14ac:dyDescent="0.3">
      <c r="B1279" t="str">
        <v>2021-06-17</v>
      </c>
      <c r="C1279">
        <v>131.79</v>
      </c>
      <c r="D1279" s="2"/>
    </row>
    <row r="1280" spans="2:4" x14ac:dyDescent="0.3">
      <c r="B1280" t="str">
        <v>2021-06-16</v>
      </c>
      <c r="C1280">
        <v>130.15</v>
      </c>
      <c r="D1280" s="2"/>
    </row>
    <row r="1281" spans="2:4" x14ac:dyDescent="0.3">
      <c r="B1281" t="str">
        <v>2021-06-15</v>
      </c>
      <c r="C1281">
        <v>129.63999999999999</v>
      </c>
      <c r="D1281" s="2"/>
    </row>
    <row r="1282" spans="2:4" x14ac:dyDescent="0.3">
      <c r="B1282" t="str">
        <v>2021-06-14</v>
      </c>
      <c r="C1282">
        <v>130.47999999999999</v>
      </c>
      <c r="D1282" s="2"/>
    </row>
    <row r="1283" spans="2:4" x14ac:dyDescent="0.3">
      <c r="B1283" t="str">
        <v>2021-06-11</v>
      </c>
      <c r="C1283">
        <v>127.35</v>
      </c>
      <c r="D1283" s="2"/>
    </row>
    <row r="1284" spans="2:4" x14ac:dyDescent="0.3">
      <c r="B1284" t="str">
        <v>2021-06-10</v>
      </c>
      <c r="C1284">
        <v>126.11</v>
      </c>
      <c r="D1284" s="2"/>
    </row>
    <row r="1285" spans="2:4" x14ac:dyDescent="0.3">
      <c r="B1285" t="str">
        <v>2021-06-09</v>
      </c>
      <c r="C1285">
        <v>127.13</v>
      </c>
      <c r="D1285" s="2"/>
    </row>
    <row r="1286" spans="2:4" x14ac:dyDescent="0.3">
      <c r="B1286" t="str">
        <v>2021-06-08</v>
      </c>
      <c r="C1286">
        <v>126.74</v>
      </c>
      <c r="D1286" s="2"/>
    </row>
    <row r="1287" spans="2:4" x14ac:dyDescent="0.3">
      <c r="B1287" t="str">
        <v>2021-06-07</v>
      </c>
      <c r="C1287">
        <v>125.9</v>
      </c>
      <c r="D1287" s="2"/>
    </row>
    <row r="1288" spans="2:4" x14ac:dyDescent="0.3">
      <c r="B1288" t="str">
        <v>2021-06-04</v>
      </c>
      <c r="C1288">
        <v>125.89</v>
      </c>
      <c r="D1288" s="2"/>
    </row>
    <row r="1289" spans="2:4" x14ac:dyDescent="0.3">
      <c r="B1289" t="str">
        <v>2021-06-03</v>
      </c>
      <c r="C1289">
        <v>123.54</v>
      </c>
      <c r="D1289" s="2"/>
    </row>
    <row r="1290" spans="2:4" x14ac:dyDescent="0.3">
      <c r="B1290" t="str">
        <v>2021-06-02</v>
      </c>
      <c r="C1290">
        <v>125.06</v>
      </c>
      <c r="D1290" s="2"/>
    </row>
    <row r="1291" spans="2:4" x14ac:dyDescent="0.3">
      <c r="B1291" t="str">
        <v>2021-06-01</v>
      </c>
      <c r="C1291">
        <v>124.28</v>
      </c>
      <c r="D1291" s="2"/>
    </row>
    <row r="1292" spans="2:4" x14ac:dyDescent="0.3">
      <c r="B1292" t="str">
        <v>2021-05-28</v>
      </c>
      <c r="C1292">
        <v>124.61</v>
      </c>
      <c r="D1292" s="2"/>
    </row>
    <row r="1293" spans="2:4" x14ac:dyDescent="0.3">
      <c r="B1293" t="str">
        <v>2021-05-27</v>
      </c>
      <c r="C1293">
        <v>125.28</v>
      </c>
      <c r="D1293" s="2"/>
    </row>
    <row r="1294" spans="2:4" x14ac:dyDescent="0.3">
      <c r="B1294" t="str">
        <v>2021-05-26</v>
      </c>
      <c r="C1294">
        <v>126.85</v>
      </c>
      <c r="D1294" s="2"/>
    </row>
    <row r="1295" spans="2:4" x14ac:dyDescent="0.3">
      <c r="B1295" t="str">
        <v>2021-05-25</v>
      </c>
      <c r="C1295">
        <v>126.9</v>
      </c>
      <c r="D1295" s="2"/>
    </row>
    <row r="1296" spans="2:4" x14ac:dyDescent="0.3">
      <c r="B1296" t="str">
        <v>2021-05-24</v>
      </c>
      <c r="C1296">
        <v>127.1</v>
      </c>
      <c r="D1296" s="2"/>
    </row>
    <row r="1297" spans="2:4" x14ac:dyDescent="0.3">
      <c r="B1297" t="str">
        <v>2021-05-21</v>
      </c>
      <c r="C1297">
        <v>125.43</v>
      </c>
      <c r="D1297" s="2"/>
    </row>
    <row r="1298" spans="2:4" x14ac:dyDescent="0.3">
      <c r="B1298" t="str">
        <v>2021-05-20</v>
      </c>
      <c r="C1298">
        <v>127.31</v>
      </c>
      <c r="D1298" s="2"/>
    </row>
    <row r="1299" spans="2:4" x14ac:dyDescent="0.3">
      <c r="B1299" t="str">
        <v>2021-05-19</v>
      </c>
      <c r="C1299">
        <v>124.69</v>
      </c>
      <c r="D1299" s="2"/>
    </row>
    <row r="1300" spans="2:4" x14ac:dyDescent="0.3">
      <c r="B1300" t="str">
        <v>2021-05-18</v>
      </c>
      <c r="C1300">
        <v>124.85</v>
      </c>
      <c r="D1300" s="2"/>
    </row>
    <row r="1301" spans="2:4" x14ac:dyDescent="0.3">
      <c r="B1301" t="str">
        <v>2021-05-17</v>
      </c>
      <c r="C1301">
        <v>126.27</v>
      </c>
      <c r="D1301" s="2"/>
    </row>
    <row r="1302" spans="2:4" x14ac:dyDescent="0.3">
      <c r="B1302" t="str">
        <v>2021-05-14</v>
      </c>
      <c r="C1302">
        <v>127.45</v>
      </c>
      <c r="D1302" s="2"/>
    </row>
    <row r="1303" spans="2:4" x14ac:dyDescent="0.3">
      <c r="B1303" t="str">
        <v>2021-05-13</v>
      </c>
      <c r="C1303">
        <v>124.97</v>
      </c>
      <c r="D1303" s="2"/>
    </row>
    <row r="1304" spans="2:4" x14ac:dyDescent="0.3">
      <c r="B1304" t="str">
        <v>2021-05-12</v>
      </c>
      <c r="C1304">
        <v>122.77</v>
      </c>
      <c r="D1304" s="2"/>
    </row>
    <row r="1305" spans="2:4" x14ac:dyDescent="0.3">
      <c r="B1305" t="str">
        <v>2021-05-11</v>
      </c>
      <c r="C1305">
        <v>125.91</v>
      </c>
      <c r="D1305" s="2"/>
    </row>
    <row r="1306" spans="2:4" x14ac:dyDescent="0.3">
      <c r="B1306" t="str">
        <v>2021-05-10</v>
      </c>
      <c r="C1306">
        <v>126.85</v>
      </c>
      <c r="D1306" s="2"/>
    </row>
    <row r="1307" spans="2:4" x14ac:dyDescent="0.3">
      <c r="B1307" t="str">
        <v>2021-05-07</v>
      </c>
      <c r="C1307">
        <v>130.21</v>
      </c>
      <c r="D1307" s="2"/>
    </row>
    <row r="1308" spans="2:4" x14ac:dyDescent="0.3">
      <c r="B1308" t="str">
        <v>2021-05-06</v>
      </c>
      <c r="C1308">
        <v>129.74</v>
      </c>
      <c r="D1308" s="2"/>
    </row>
    <row r="1309" spans="2:4" x14ac:dyDescent="0.3">
      <c r="B1309" t="str">
        <v>2021-05-05</v>
      </c>
      <c r="C1309">
        <v>128.1</v>
      </c>
      <c r="D1309" s="2"/>
    </row>
    <row r="1310" spans="2:4" x14ac:dyDescent="0.3">
      <c r="B1310" t="str">
        <v>2021-05-04</v>
      </c>
      <c r="C1310">
        <v>127.85</v>
      </c>
      <c r="D1310" s="2"/>
    </row>
    <row r="1311" spans="2:4" x14ac:dyDescent="0.3">
      <c r="B1311" t="str">
        <v>2021-05-03</v>
      </c>
      <c r="C1311">
        <v>132.54</v>
      </c>
      <c r="D1311" s="2"/>
    </row>
    <row r="1312" spans="2:4" x14ac:dyDescent="0.3">
      <c r="B1312" t="str">
        <v>2021-04-30</v>
      </c>
      <c r="C1312">
        <v>131.46</v>
      </c>
      <c r="D1312" s="2"/>
    </row>
    <row r="1313" spans="2:4" x14ac:dyDescent="0.3">
      <c r="B1313" t="str">
        <v>2021-04-29</v>
      </c>
      <c r="C1313">
        <v>133.47999999999999</v>
      </c>
      <c r="D1313" s="2"/>
    </row>
    <row r="1314" spans="2:4" x14ac:dyDescent="0.3">
      <c r="B1314" t="str">
        <v>2021-04-28</v>
      </c>
      <c r="C1314">
        <v>133.58000000000001</v>
      </c>
      <c r="D1314" s="2"/>
    </row>
    <row r="1315" spans="2:4" x14ac:dyDescent="0.3">
      <c r="B1315" t="str">
        <v>2021-04-27</v>
      </c>
      <c r="C1315">
        <v>134.38999999999999</v>
      </c>
      <c r="D1315" s="2"/>
    </row>
    <row r="1316" spans="2:4" x14ac:dyDescent="0.3">
      <c r="B1316" t="str">
        <v>2021-04-26</v>
      </c>
      <c r="C1316">
        <v>134.72</v>
      </c>
      <c r="D1316" s="2"/>
    </row>
    <row r="1317" spans="2:4" x14ac:dyDescent="0.3">
      <c r="B1317" t="str">
        <v>2021-04-23</v>
      </c>
      <c r="C1317">
        <v>134.32</v>
      </c>
      <c r="D1317" s="2"/>
    </row>
    <row r="1318" spans="2:4" x14ac:dyDescent="0.3">
      <c r="B1318" t="str">
        <v>2021-04-22</v>
      </c>
      <c r="C1318">
        <v>131.94</v>
      </c>
      <c r="D1318" s="2"/>
    </row>
    <row r="1319" spans="2:4" x14ac:dyDescent="0.3">
      <c r="B1319" t="str">
        <v>2021-04-21</v>
      </c>
      <c r="C1319">
        <v>133.5</v>
      </c>
      <c r="D1319" s="2"/>
    </row>
    <row r="1320" spans="2:4" x14ac:dyDescent="0.3">
      <c r="B1320" t="str">
        <v>2021-04-20</v>
      </c>
      <c r="C1320">
        <v>133.11000000000001</v>
      </c>
      <c r="D1320" s="2"/>
    </row>
    <row r="1321" spans="2:4" x14ac:dyDescent="0.3">
      <c r="B1321" t="str">
        <v>2021-04-19</v>
      </c>
      <c r="C1321">
        <v>134.84</v>
      </c>
      <c r="D1321" s="2"/>
    </row>
    <row r="1322" spans="2:4" x14ac:dyDescent="0.3">
      <c r="B1322" t="str">
        <v>2021-04-16</v>
      </c>
      <c r="C1322">
        <v>134.16</v>
      </c>
      <c r="D1322" s="2"/>
    </row>
    <row r="1323" spans="2:4" x14ac:dyDescent="0.3">
      <c r="B1323" t="str">
        <v>2021-04-15</v>
      </c>
      <c r="C1323">
        <v>134.5</v>
      </c>
      <c r="D1323" s="2"/>
    </row>
    <row r="1324" spans="2:4" x14ac:dyDescent="0.3">
      <c r="B1324" t="str">
        <v>2021-04-14</v>
      </c>
      <c r="C1324">
        <v>132.03</v>
      </c>
      <c r="D1324" s="2"/>
    </row>
    <row r="1325" spans="2:4" x14ac:dyDescent="0.3">
      <c r="B1325" t="str">
        <v>2021-04-13</v>
      </c>
      <c r="C1325">
        <v>134.43</v>
      </c>
      <c r="D1325" s="2"/>
    </row>
    <row r="1326" spans="2:4" x14ac:dyDescent="0.3">
      <c r="B1326" t="str">
        <v>2021-04-12</v>
      </c>
      <c r="C1326">
        <v>131.24</v>
      </c>
      <c r="D1326" s="2"/>
    </row>
    <row r="1327" spans="2:4" x14ac:dyDescent="0.3">
      <c r="B1327" t="str">
        <v>2021-04-09</v>
      </c>
      <c r="C1327">
        <v>133</v>
      </c>
      <c r="D1327" s="2"/>
    </row>
    <row r="1328" spans="2:4" x14ac:dyDescent="0.3">
      <c r="B1328" t="str">
        <v>2021-04-08</v>
      </c>
      <c r="C1328">
        <v>130.36000000000001</v>
      </c>
      <c r="D1328" s="2"/>
    </row>
    <row r="1329" spans="2:4" x14ac:dyDescent="0.3">
      <c r="B1329" t="str">
        <v>2021-04-07</v>
      </c>
      <c r="C1329">
        <v>127.9</v>
      </c>
      <c r="D1329" s="2"/>
    </row>
    <row r="1330" spans="2:4" x14ac:dyDescent="0.3">
      <c r="B1330" t="str">
        <v>2021-04-06</v>
      </c>
      <c r="C1330">
        <v>126.21</v>
      </c>
      <c r="D1330" s="2"/>
    </row>
    <row r="1331" spans="2:4" x14ac:dyDescent="0.3">
      <c r="B1331" t="str">
        <v>2021-04-05</v>
      </c>
      <c r="C1331">
        <v>125.9</v>
      </c>
      <c r="D1331" s="2"/>
    </row>
    <row r="1332" spans="2:4" x14ac:dyDescent="0.3">
      <c r="B1332" t="str">
        <v>2021-04-01</v>
      </c>
      <c r="C1332">
        <v>123</v>
      </c>
      <c r="D1332" s="2"/>
    </row>
    <row r="1333" spans="2:4" x14ac:dyDescent="0.3">
      <c r="B1333" t="str">
        <v>2021-03-31</v>
      </c>
      <c r="C1333">
        <v>122.15</v>
      </c>
      <c r="D1333" s="2"/>
    </row>
    <row r="1334" spans="2:4" x14ac:dyDescent="0.3">
      <c r="B1334" t="str">
        <v>2021-03-30</v>
      </c>
      <c r="C1334">
        <v>119.9</v>
      </c>
      <c r="D1334" s="2"/>
    </row>
    <row r="1335" spans="2:4" x14ac:dyDescent="0.3">
      <c r="B1335" t="str">
        <v>2021-03-29</v>
      </c>
      <c r="C1335">
        <v>121.39</v>
      </c>
      <c r="D1335" s="2"/>
    </row>
    <row r="1336" spans="2:4" x14ac:dyDescent="0.3">
      <c r="B1336" t="str">
        <v>2021-03-26</v>
      </c>
      <c r="C1336">
        <v>121.21</v>
      </c>
      <c r="D1336" s="2"/>
    </row>
    <row r="1337" spans="2:4" x14ac:dyDescent="0.3">
      <c r="B1337" t="str">
        <v>2021-03-25</v>
      </c>
      <c r="C1337">
        <v>120.59</v>
      </c>
      <c r="D1337" s="2"/>
    </row>
    <row r="1338" spans="2:4" x14ac:dyDescent="0.3">
      <c r="B1338" t="str">
        <v>2021-03-24</v>
      </c>
      <c r="C1338">
        <v>120.09</v>
      </c>
      <c r="D1338" s="2"/>
    </row>
    <row r="1339" spans="2:4" x14ac:dyDescent="0.3">
      <c r="B1339" t="str">
        <v>2021-03-23</v>
      </c>
      <c r="C1339">
        <v>122.54</v>
      </c>
      <c r="D1339" s="2"/>
    </row>
    <row r="1340" spans="2:4" x14ac:dyDescent="0.3">
      <c r="B1340" t="str">
        <v>2021-03-22</v>
      </c>
      <c r="C1340">
        <v>123.39</v>
      </c>
      <c r="D1340" s="2"/>
    </row>
    <row r="1341" spans="2:4" x14ac:dyDescent="0.3">
      <c r="B1341" t="str">
        <v>2021-03-19</v>
      </c>
      <c r="C1341">
        <v>119.99</v>
      </c>
      <c r="D1341" s="2"/>
    </row>
    <row r="1342" spans="2:4" x14ac:dyDescent="0.3">
      <c r="B1342" t="str">
        <v>2021-03-18</v>
      </c>
      <c r="C1342">
        <v>120.53</v>
      </c>
      <c r="D1342" s="2"/>
    </row>
    <row r="1343" spans="2:4" x14ac:dyDescent="0.3">
      <c r="B1343" t="str">
        <v>2021-03-17</v>
      </c>
      <c r="C1343">
        <v>124.76</v>
      </c>
      <c r="D1343" s="2"/>
    </row>
    <row r="1344" spans="2:4" x14ac:dyDescent="0.3">
      <c r="B1344" t="str">
        <v>2021-03-16</v>
      </c>
      <c r="C1344">
        <v>125.57</v>
      </c>
      <c r="D1344" s="2"/>
    </row>
    <row r="1345" spans="2:4" x14ac:dyDescent="0.3">
      <c r="B1345" t="str">
        <v>2021-03-15</v>
      </c>
      <c r="C1345">
        <v>123.99</v>
      </c>
      <c r="D1345" s="2"/>
    </row>
    <row r="1346" spans="2:4" x14ac:dyDescent="0.3">
      <c r="B1346" t="str">
        <v>2021-03-12</v>
      </c>
      <c r="C1346">
        <v>121.03</v>
      </c>
      <c r="D1346" s="2"/>
    </row>
    <row r="1347" spans="2:4" x14ac:dyDescent="0.3">
      <c r="B1347" t="str">
        <v>2021-03-11</v>
      </c>
      <c r="C1347">
        <v>121.96</v>
      </c>
      <c r="D1347" s="2"/>
    </row>
    <row r="1348" spans="2:4" x14ac:dyDescent="0.3">
      <c r="B1348" t="str">
        <v>2021-03-10</v>
      </c>
      <c r="C1348">
        <v>119.98</v>
      </c>
      <c r="D1348" s="2"/>
    </row>
    <row r="1349" spans="2:4" x14ac:dyDescent="0.3">
      <c r="B1349" t="str">
        <v>2021-03-09</v>
      </c>
      <c r="C1349">
        <v>121.09</v>
      </c>
      <c r="D1349" s="2"/>
    </row>
    <row r="1350" spans="2:4" x14ac:dyDescent="0.3">
      <c r="B1350" t="str">
        <v>2021-03-08</v>
      </c>
      <c r="C1350">
        <v>116.36</v>
      </c>
      <c r="D1350" s="2"/>
    </row>
    <row r="1351" spans="2:4" x14ac:dyDescent="0.3">
      <c r="B1351" t="str">
        <v>2021-03-05</v>
      </c>
      <c r="C1351">
        <v>121.42</v>
      </c>
      <c r="D1351" s="2"/>
    </row>
    <row r="1352" spans="2:4" x14ac:dyDescent="0.3">
      <c r="B1352" t="str">
        <v>2021-03-04</v>
      </c>
      <c r="C1352">
        <v>120.13</v>
      </c>
      <c r="D1352" s="2"/>
    </row>
    <row r="1353" spans="2:4" x14ac:dyDescent="0.3">
      <c r="B1353" t="str">
        <v>2021-03-03</v>
      </c>
      <c r="C1353">
        <v>122.06</v>
      </c>
      <c r="D1353" s="2"/>
    </row>
    <row r="1354" spans="2:4" x14ac:dyDescent="0.3">
      <c r="B1354" t="str">
        <v>2021-03-02</v>
      </c>
      <c r="C1354">
        <v>125.12</v>
      </c>
      <c r="D1354" s="2"/>
    </row>
    <row r="1355" spans="2:4" x14ac:dyDescent="0.3">
      <c r="B1355" t="str">
        <v>2021-03-01</v>
      </c>
      <c r="C1355">
        <v>127.79</v>
      </c>
      <c r="D1355" s="2"/>
    </row>
    <row r="1356" spans="2:4" x14ac:dyDescent="0.3">
      <c r="B1356" t="str">
        <v>2021-02-26</v>
      </c>
      <c r="C1356">
        <v>121.26</v>
      </c>
      <c r="D1356" s="2"/>
    </row>
    <row r="1357" spans="2:4" x14ac:dyDescent="0.3">
      <c r="B1357" t="str">
        <v>2021-02-25</v>
      </c>
      <c r="C1357">
        <v>120.99</v>
      </c>
      <c r="D1357" s="2"/>
    </row>
    <row r="1358" spans="2:4" x14ac:dyDescent="0.3">
      <c r="B1358" t="str">
        <v>2021-02-24</v>
      </c>
      <c r="C1358">
        <v>125.35</v>
      </c>
      <c r="D1358" s="2"/>
    </row>
    <row r="1359" spans="2:4" x14ac:dyDescent="0.3">
      <c r="B1359" t="str">
        <v>2021-02-23</v>
      </c>
      <c r="C1359">
        <v>125.86</v>
      </c>
      <c r="D1359" s="2"/>
    </row>
    <row r="1360" spans="2:4" x14ac:dyDescent="0.3">
      <c r="B1360" t="str">
        <v>2021-02-22</v>
      </c>
      <c r="C1360">
        <v>126</v>
      </c>
      <c r="D1360" s="2"/>
    </row>
    <row r="1361" spans="2:4" x14ac:dyDescent="0.3">
      <c r="B1361" t="str">
        <v>2021-02-19</v>
      </c>
      <c r="C1361">
        <v>129.87</v>
      </c>
      <c r="D1361" s="2"/>
    </row>
    <row r="1362" spans="2:4" x14ac:dyDescent="0.3">
      <c r="B1362" t="str">
        <v>2021-02-18</v>
      </c>
      <c r="C1362">
        <v>129.71</v>
      </c>
      <c r="D1362" s="2"/>
    </row>
    <row r="1363" spans="2:4" x14ac:dyDescent="0.3">
      <c r="B1363" t="str">
        <v>2021-02-17</v>
      </c>
      <c r="C1363">
        <v>130.84</v>
      </c>
      <c r="D1363" s="2"/>
    </row>
    <row r="1364" spans="2:4" x14ac:dyDescent="0.3">
      <c r="B1364" t="str">
        <v>2021-02-16</v>
      </c>
      <c r="C1364">
        <v>133.19</v>
      </c>
      <c r="D1364" s="2"/>
    </row>
    <row r="1365" spans="2:4" x14ac:dyDescent="0.3">
      <c r="B1365" t="str">
        <v>2021-02-12</v>
      </c>
      <c r="C1365">
        <v>135.37</v>
      </c>
      <c r="D1365" s="2"/>
    </row>
    <row r="1366" spans="2:4" x14ac:dyDescent="0.3">
      <c r="B1366" t="str">
        <v>2021-02-11</v>
      </c>
      <c r="C1366">
        <v>135.13</v>
      </c>
      <c r="D1366" s="2"/>
    </row>
    <row r="1367" spans="2:4" x14ac:dyDescent="0.3">
      <c r="B1367" t="str">
        <v>2021-02-10</v>
      </c>
      <c r="C1367">
        <v>135.38999999999999</v>
      </c>
      <c r="D1367" s="2"/>
    </row>
    <row r="1368" spans="2:4" x14ac:dyDescent="0.3">
      <c r="B1368" t="str">
        <v>2021-02-09</v>
      </c>
      <c r="C1368">
        <v>136.01</v>
      </c>
      <c r="D1368" s="2"/>
    </row>
    <row r="1369" spans="2:4" x14ac:dyDescent="0.3">
      <c r="B1369" t="str">
        <v>2021-02-08</v>
      </c>
      <c r="C1369">
        <v>136.91</v>
      </c>
      <c r="D1369" s="2"/>
    </row>
    <row r="1370" spans="2:4" x14ac:dyDescent="0.3">
      <c r="B1370" t="str">
        <v>2021-02-05</v>
      </c>
      <c r="C1370">
        <v>136.76</v>
      </c>
      <c r="D1370" s="2"/>
    </row>
    <row r="1371" spans="2:4" x14ac:dyDescent="0.3">
      <c r="B1371" t="str">
        <v>2021-02-04</v>
      </c>
      <c r="C1371">
        <v>137.38999999999999</v>
      </c>
      <c r="D1371" s="2"/>
    </row>
    <row r="1372" spans="2:4" x14ac:dyDescent="0.3">
      <c r="B1372" t="str">
        <v>2021-02-03</v>
      </c>
      <c r="C1372">
        <v>133.94</v>
      </c>
      <c r="D1372" s="2"/>
    </row>
    <row r="1373" spans="2:4" x14ac:dyDescent="0.3">
      <c r="B1373" t="str">
        <v>2021-02-02</v>
      </c>
      <c r="C1373">
        <v>134.99</v>
      </c>
      <c r="D1373" s="2"/>
    </row>
    <row r="1374" spans="2:4" x14ac:dyDescent="0.3">
      <c r="B1374" t="str">
        <v>2021-02-01</v>
      </c>
      <c r="C1374">
        <v>134.13999999999999</v>
      </c>
      <c r="D1374" s="2"/>
    </row>
    <row r="1375" spans="2:4" x14ac:dyDescent="0.3">
      <c r="B1375" t="str">
        <v>2021-01-29</v>
      </c>
      <c r="C1375">
        <v>131.96</v>
      </c>
      <c r="D1375" s="2"/>
    </row>
    <row r="1376" spans="2:4" x14ac:dyDescent="0.3">
      <c r="B1376" t="str">
        <v>2021-01-28</v>
      </c>
      <c r="C1376">
        <v>137.09</v>
      </c>
      <c r="D1376" s="2"/>
    </row>
    <row r="1377" spans="2:4" x14ac:dyDescent="0.3">
      <c r="B1377" t="str">
        <v>2021-01-27</v>
      </c>
      <c r="C1377">
        <v>142.06</v>
      </c>
      <c r="D1377" s="2"/>
    </row>
    <row r="1378" spans="2:4" x14ac:dyDescent="0.3">
      <c r="B1378" t="str">
        <v>2021-01-26</v>
      </c>
      <c r="C1378">
        <v>143.16</v>
      </c>
      <c r="D1378" s="2"/>
    </row>
    <row r="1379" spans="2:4" x14ac:dyDescent="0.3">
      <c r="B1379" t="str">
        <v>2021-01-25</v>
      </c>
      <c r="C1379">
        <v>142.91999999999999</v>
      </c>
      <c r="D1379" s="2"/>
    </row>
    <row r="1380" spans="2:4" x14ac:dyDescent="0.3">
      <c r="B1380" t="str">
        <v>2021-01-22</v>
      </c>
      <c r="C1380">
        <v>139.07</v>
      </c>
      <c r="D1380" s="2"/>
    </row>
    <row r="1381" spans="2:4" x14ac:dyDescent="0.3">
      <c r="B1381" t="str">
        <v>2021-01-21</v>
      </c>
      <c r="C1381">
        <v>136.87</v>
      </c>
      <c r="D1381" s="2"/>
    </row>
    <row r="1382" spans="2:4" x14ac:dyDescent="0.3">
      <c r="B1382" t="str">
        <v>2021-01-20</v>
      </c>
      <c r="C1382">
        <v>132.03</v>
      </c>
      <c r="D1382" s="2"/>
    </row>
    <row r="1383" spans="2:4" x14ac:dyDescent="0.3">
      <c r="B1383" t="str">
        <v>2021-01-19</v>
      </c>
      <c r="C1383">
        <v>127.83</v>
      </c>
      <c r="D1383" s="2"/>
    </row>
    <row r="1384" spans="2:4" x14ac:dyDescent="0.3">
      <c r="B1384" t="str">
        <v>2021-01-15</v>
      </c>
      <c r="C1384">
        <v>127.14</v>
      </c>
      <c r="D1384" s="2"/>
    </row>
    <row r="1385" spans="2:4" x14ac:dyDescent="0.3">
      <c r="B1385" t="str">
        <v>2021-01-14</v>
      </c>
      <c r="C1385">
        <v>128.91</v>
      </c>
      <c r="D1385" s="2"/>
    </row>
    <row r="1386" spans="2:4" x14ac:dyDescent="0.3">
      <c r="B1386" t="str">
        <v>2021-01-13</v>
      </c>
      <c r="C1386">
        <v>130.88999999999999</v>
      </c>
      <c r="D1386" s="2"/>
    </row>
    <row r="1387" spans="2:4" x14ac:dyDescent="0.3">
      <c r="B1387" t="str">
        <v>2021-01-12</v>
      </c>
      <c r="C1387">
        <v>128.80000000000001</v>
      </c>
      <c r="D1387" s="2"/>
    </row>
    <row r="1388" spans="2:4" x14ac:dyDescent="0.3">
      <c r="B1388" t="str">
        <v>2021-01-11</v>
      </c>
      <c r="C1388">
        <v>128.97999999999999</v>
      </c>
      <c r="D1388" s="2"/>
    </row>
    <row r="1389" spans="2:4" x14ac:dyDescent="0.3">
      <c r="B1389" t="str">
        <v>2021-01-08</v>
      </c>
      <c r="C1389">
        <v>132.05000000000001</v>
      </c>
      <c r="D1389" s="2"/>
    </row>
    <row r="1390" spans="2:4" x14ac:dyDescent="0.3">
      <c r="B1390" t="str">
        <v>2021-01-07</v>
      </c>
      <c r="C1390">
        <v>130.91999999999999</v>
      </c>
      <c r="D1390" s="2"/>
    </row>
    <row r="1391" spans="2:4" x14ac:dyDescent="0.3">
      <c r="B1391" t="str">
        <v>2021-01-06</v>
      </c>
      <c r="C1391">
        <v>126.6</v>
      </c>
      <c r="D1391" s="2"/>
    </row>
    <row r="1392" spans="2:4" x14ac:dyDescent="0.3">
      <c r="B1392" t="str">
        <v>2021-01-05</v>
      </c>
      <c r="C1392">
        <v>131.01</v>
      </c>
      <c r="D1392" s="2"/>
    </row>
    <row r="1393" spans="2:4" x14ac:dyDescent="0.3">
      <c r="B1393" t="str">
        <v>2021-01-04</v>
      </c>
      <c r="C1393">
        <v>129.41</v>
      </c>
      <c r="D1393" s="2"/>
    </row>
    <row r="1394" spans="2:4" x14ac:dyDescent="0.3">
      <c r="B1394" t="str">
        <v>2020-12-31</v>
      </c>
      <c r="C1394">
        <v>132.69</v>
      </c>
      <c r="D1394" s="2"/>
    </row>
    <row r="1395" spans="2:4" x14ac:dyDescent="0.3">
      <c r="B1395" t="str">
        <v>2020-12-30</v>
      </c>
      <c r="C1395">
        <v>133.72</v>
      </c>
      <c r="D1395" s="2"/>
    </row>
    <row r="1396" spans="2:4" x14ac:dyDescent="0.3">
      <c r="B1396" t="str">
        <v>2020-12-29</v>
      </c>
      <c r="C1396">
        <v>134.87</v>
      </c>
      <c r="D1396" s="2"/>
    </row>
    <row r="1397" spans="2:4" x14ac:dyDescent="0.3">
      <c r="B1397" t="str">
        <v>2020-12-28</v>
      </c>
      <c r="C1397">
        <v>136.69</v>
      </c>
      <c r="D1397" s="2"/>
    </row>
    <row r="1398" spans="2:4" x14ac:dyDescent="0.3">
      <c r="B1398" t="str">
        <v>2020-12-24</v>
      </c>
      <c r="C1398">
        <v>131.97</v>
      </c>
      <c r="D1398" s="2"/>
    </row>
    <row r="1399" spans="2:4" x14ac:dyDescent="0.3">
      <c r="B1399" t="str">
        <v>2020-12-23</v>
      </c>
      <c r="C1399">
        <v>130.96</v>
      </c>
      <c r="D1399" s="2"/>
    </row>
    <row r="1400" spans="2:4" x14ac:dyDescent="0.3">
      <c r="B1400" t="str">
        <v>2020-12-22</v>
      </c>
      <c r="C1400">
        <v>131.88</v>
      </c>
      <c r="D1400" s="2"/>
    </row>
    <row r="1401" spans="2:4" x14ac:dyDescent="0.3">
      <c r="B1401" t="str">
        <v>2020-12-21</v>
      </c>
      <c r="C1401">
        <v>128.22999999999999</v>
      </c>
      <c r="D1401" s="2"/>
    </row>
    <row r="1402" spans="2:4" x14ac:dyDescent="0.3">
      <c r="B1402" t="str">
        <v>2020-12-18</v>
      </c>
      <c r="C1402">
        <v>126.66</v>
      </c>
      <c r="D1402" s="2"/>
    </row>
    <row r="1403" spans="2:4" x14ac:dyDescent="0.3">
      <c r="B1403" t="str">
        <v>2020-12-17</v>
      </c>
      <c r="C1403">
        <v>128.69999999999999</v>
      </c>
      <c r="D1403" s="2"/>
    </row>
    <row r="1404" spans="2:4" x14ac:dyDescent="0.3">
      <c r="B1404" t="str">
        <v>2020-12-16</v>
      </c>
      <c r="C1404">
        <v>127.81</v>
      </c>
      <c r="D1404" s="2"/>
    </row>
    <row r="1405" spans="2:4" x14ac:dyDescent="0.3">
      <c r="B1405" t="str">
        <v>2020-12-15</v>
      </c>
      <c r="C1405">
        <v>127.88</v>
      </c>
      <c r="D1405" s="2"/>
    </row>
    <row r="1406" spans="2:4" x14ac:dyDescent="0.3">
      <c r="B1406" t="str">
        <v>2020-12-14</v>
      </c>
      <c r="C1406">
        <v>121.78</v>
      </c>
      <c r="D1406" s="2"/>
    </row>
    <row r="1407" spans="2:4" x14ac:dyDescent="0.3">
      <c r="B1407" t="str">
        <v>2020-12-11</v>
      </c>
      <c r="C1407">
        <v>122.41</v>
      </c>
      <c r="D1407" s="2"/>
    </row>
    <row r="1408" spans="2:4" x14ac:dyDescent="0.3">
      <c r="B1408" t="str">
        <v>2020-12-10</v>
      </c>
      <c r="C1408">
        <v>123.24</v>
      </c>
      <c r="D1408" s="2"/>
    </row>
    <row r="1409" spans="2:4" x14ac:dyDescent="0.3">
      <c r="B1409" t="str">
        <v>2020-12-09</v>
      </c>
      <c r="C1409">
        <v>121.78</v>
      </c>
      <c r="D1409" s="2"/>
    </row>
    <row r="1410" spans="2:4" x14ac:dyDescent="0.3">
      <c r="B1410" t="str">
        <v>2020-12-08</v>
      </c>
      <c r="C1410">
        <v>124.38</v>
      </c>
      <c r="D1410" s="2"/>
    </row>
    <row r="1411" spans="2:4" x14ac:dyDescent="0.3">
      <c r="B1411" t="str">
        <v>2020-12-07</v>
      </c>
      <c r="C1411">
        <v>123.75</v>
      </c>
      <c r="D1411" s="2"/>
    </row>
    <row r="1412" spans="2:4" x14ac:dyDescent="0.3">
      <c r="B1412" t="str">
        <v>2020-12-04</v>
      </c>
      <c r="C1412">
        <v>122.25</v>
      </c>
      <c r="D1412" s="2"/>
    </row>
    <row r="1413" spans="2:4" x14ac:dyDescent="0.3">
      <c r="B1413" t="str">
        <v>2020-12-03</v>
      </c>
      <c r="C1413">
        <v>122.94</v>
      </c>
      <c r="D1413" s="2"/>
    </row>
    <row r="1414" spans="2:4" x14ac:dyDescent="0.3">
      <c r="B1414" t="str">
        <v>2020-12-02</v>
      </c>
      <c r="C1414">
        <v>123.08</v>
      </c>
      <c r="D1414" s="2"/>
    </row>
    <row r="1415" spans="2:4" x14ac:dyDescent="0.3">
      <c r="B1415" t="str">
        <v>2020-12-01</v>
      </c>
      <c r="C1415">
        <v>122.72</v>
      </c>
      <c r="D1415" s="2"/>
    </row>
    <row r="1416" spans="2:4" x14ac:dyDescent="0.3">
      <c r="B1416" t="str">
        <v>2020-11-30</v>
      </c>
      <c r="C1416">
        <v>119.05</v>
      </c>
      <c r="D1416" s="2"/>
    </row>
    <row r="1417" spans="2:4" x14ac:dyDescent="0.3">
      <c r="B1417" t="str">
        <v>2020-11-27</v>
      </c>
      <c r="C1417">
        <v>116.59</v>
      </c>
      <c r="D1417" s="2"/>
    </row>
    <row r="1418" spans="2:4" x14ac:dyDescent="0.3">
      <c r="B1418" t="str">
        <v>2020-11-25</v>
      </c>
      <c r="C1418">
        <v>116.03</v>
      </c>
      <c r="D1418" s="2"/>
    </row>
    <row r="1419" spans="2:4" x14ac:dyDescent="0.3">
      <c r="B1419" t="str">
        <v>2020-11-24</v>
      </c>
      <c r="C1419">
        <v>115.17</v>
      </c>
      <c r="D1419" s="2"/>
    </row>
    <row r="1420" spans="2:4" x14ac:dyDescent="0.3">
      <c r="B1420" t="str">
        <v>2020-11-23</v>
      </c>
      <c r="C1420">
        <v>113.85</v>
      </c>
      <c r="D1420" s="2"/>
    </row>
    <row r="1421" spans="2:4" x14ac:dyDescent="0.3">
      <c r="B1421" t="str">
        <v>2020-11-20</v>
      </c>
      <c r="C1421">
        <v>117.34</v>
      </c>
      <c r="D1421" s="2"/>
    </row>
    <row r="1422" spans="2:4" x14ac:dyDescent="0.3">
      <c r="B1422" t="str">
        <v>2020-11-19</v>
      </c>
      <c r="C1422">
        <v>118.64</v>
      </c>
      <c r="D1422" s="2"/>
    </row>
    <row r="1423" spans="2:4" x14ac:dyDescent="0.3">
      <c r="B1423" t="str">
        <v>2020-11-18</v>
      </c>
      <c r="C1423">
        <v>118.03</v>
      </c>
      <c r="D1423" s="2"/>
    </row>
    <row r="1424" spans="2:4" x14ac:dyDescent="0.3">
      <c r="B1424" t="str">
        <v>2020-11-17</v>
      </c>
      <c r="C1424">
        <v>119.39</v>
      </c>
      <c r="D1424" s="2"/>
    </row>
    <row r="1425" spans="2:4" x14ac:dyDescent="0.3">
      <c r="B1425" t="str">
        <v>2020-11-16</v>
      </c>
      <c r="C1425">
        <v>120.3</v>
      </c>
      <c r="D1425" s="2"/>
    </row>
    <row r="1426" spans="2:4" x14ac:dyDescent="0.3">
      <c r="B1426" t="str">
        <v>2020-11-13</v>
      </c>
      <c r="C1426">
        <v>119.26</v>
      </c>
      <c r="D1426" s="2"/>
    </row>
    <row r="1427" spans="2:4" x14ac:dyDescent="0.3">
      <c r="B1427" t="str">
        <v>2020-11-12</v>
      </c>
      <c r="C1427">
        <v>119.21</v>
      </c>
      <c r="D1427" s="2"/>
    </row>
    <row r="1428" spans="2:4" x14ac:dyDescent="0.3">
      <c r="B1428" t="str">
        <v>2020-11-11</v>
      </c>
      <c r="C1428">
        <v>119.49</v>
      </c>
      <c r="D1428" s="2"/>
    </row>
    <row r="1429" spans="2:4" x14ac:dyDescent="0.3">
      <c r="B1429" t="str">
        <v>2020-11-10</v>
      </c>
      <c r="C1429">
        <v>115.97</v>
      </c>
      <c r="D1429" s="2"/>
    </row>
    <row r="1430" spans="2:4" x14ac:dyDescent="0.3">
      <c r="B1430" t="str">
        <v>2020-11-09</v>
      </c>
      <c r="C1430">
        <v>116.32</v>
      </c>
      <c r="D1430" s="2"/>
    </row>
    <row r="1431" spans="2:4" x14ac:dyDescent="0.3">
      <c r="B1431" t="str">
        <v>2020-11-06</v>
      </c>
      <c r="C1431">
        <v>118.69</v>
      </c>
      <c r="D1431" s="2"/>
    </row>
    <row r="1432" spans="2:4" x14ac:dyDescent="0.3">
      <c r="B1432" t="str">
        <v>2020-11-05</v>
      </c>
      <c r="C1432">
        <v>119.03</v>
      </c>
      <c r="D1432" s="2"/>
    </row>
    <row r="1433" spans="2:4" x14ac:dyDescent="0.3">
      <c r="B1433" t="str">
        <v>2020-11-04</v>
      </c>
      <c r="C1433">
        <v>114.95</v>
      </c>
      <c r="D1433" s="2"/>
    </row>
    <row r="1434" spans="2:4" x14ac:dyDescent="0.3">
      <c r="B1434" t="str">
        <v>2020-11-03</v>
      </c>
      <c r="C1434">
        <v>110.44</v>
      </c>
      <c r="D1434" s="2"/>
    </row>
    <row r="1435" spans="2:4" x14ac:dyDescent="0.3">
      <c r="B1435" t="str">
        <v>2020-11-02</v>
      </c>
      <c r="C1435">
        <v>108.77</v>
      </c>
      <c r="D1435" s="2"/>
    </row>
    <row r="1436" spans="2:4" x14ac:dyDescent="0.3">
      <c r="B1436" t="str">
        <v>2020-10-30</v>
      </c>
      <c r="C1436">
        <v>108.86</v>
      </c>
      <c r="D1436" s="2"/>
    </row>
    <row r="1437" spans="2:4" x14ac:dyDescent="0.3">
      <c r="B1437" t="str">
        <v>2020-10-29</v>
      </c>
      <c r="C1437">
        <v>115.32</v>
      </c>
      <c r="D1437" s="2"/>
    </row>
    <row r="1438" spans="2:4" x14ac:dyDescent="0.3">
      <c r="B1438" t="str">
        <v>2020-10-28</v>
      </c>
      <c r="C1438">
        <v>111.2</v>
      </c>
      <c r="D1438" s="2"/>
    </row>
    <row r="1439" spans="2:4" x14ac:dyDescent="0.3">
      <c r="B1439" t="str">
        <v>2020-10-27</v>
      </c>
      <c r="C1439">
        <v>116.6</v>
      </c>
      <c r="D1439" s="2"/>
    </row>
    <row r="1440" spans="2:4" x14ac:dyDescent="0.3">
      <c r="B1440" t="str">
        <v>2020-10-26</v>
      </c>
      <c r="C1440">
        <v>115.05</v>
      </c>
      <c r="D1440" s="2"/>
    </row>
    <row r="1441" spans="2:4" x14ac:dyDescent="0.3">
      <c r="B1441" t="str">
        <v>2020-10-23</v>
      </c>
      <c r="C1441">
        <v>115.04</v>
      </c>
      <c r="D1441" s="2"/>
    </row>
    <row r="1442" spans="2:4" x14ac:dyDescent="0.3">
      <c r="B1442" t="str">
        <v>2020-10-22</v>
      </c>
      <c r="C1442">
        <v>115.75</v>
      </c>
      <c r="D1442" s="2"/>
    </row>
    <row r="1443" spans="2:4" x14ac:dyDescent="0.3">
      <c r="B1443" t="str">
        <v>2020-10-21</v>
      </c>
      <c r="C1443">
        <v>116.87</v>
      </c>
      <c r="D1443" s="2"/>
    </row>
    <row r="1444" spans="2:4" x14ac:dyDescent="0.3">
      <c r="B1444" t="str">
        <v>2020-10-20</v>
      </c>
      <c r="C1444">
        <v>117.51</v>
      </c>
      <c r="D1444" s="2"/>
    </row>
    <row r="1445" spans="2:4" x14ac:dyDescent="0.3">
      <c r="B1445" t="str">
        <v>2020-10-19</v>
      </c>
      <c r="C1445">
        <v>115.98</v>
      </c>
      <c r="D1445" s="2"/>
    </row>
    <row r="1446" spans="2:4" x14ac:dyDescent="0.3">
      <c r="B1446" t="str">
        <v>2020-10-16</v>
      </c>
      <c r="C1446">
        <v>119.02</v>
      </c>
      <c r="D1446" s="2"/>
    </row>
    <row r="1447" spans="2:4" x14ac:dyDescent="0.3">
      <c r="B1447" t="str">
        <v>2020-10-15</v>
      </c>
      <c r="C1447">
        <v>120.71</v>
      </c>
      <c r="D1447" s="2"/>
    </row>
    <row r="1448" spans="2:4" x14ac:dyDescent="0.3">
      <c r="B1448" t="str">
        <v>2020-10-14</v>
      </c>
      <c r="C1448">
        <v>121.19</v>
      </c>
      <c r="D1448" s="2"/>
    </row>
    <row r="1449" spans="2:4" x14ac:dyDescent="0.3">
      <c r="B1449" t="str">
        <v>2020-10-13</v>
      </c>
      <c r="C1449">
        <v>121.1</v>
      </c>
      <c r="D1449" s="2"/>
    </row>
    <row r="1450" spans="2:4" x14ac:dyDescent="0.3">
      <c r="B1450" t="str">
        <v>2020-10-12</v>
      </c>
      <c r="C1450">
        <v>124.4</v>
      </c>
      <c r="D1450" s="2"/>
    </row>
    <row r="1451" spans="2:4" x14ac:dyDescent="0.3">
      <c r="B1451" t="str">
        <v>2020-10-09</v>
      </c>
      <c r="C1451">
        <v>116.97</v>
      </c>
      <c r="D1451" s="2"/>
    </row>
    <row r="1452" spans="2:4" x14ac:dyDescent="0.3">
      <c r="B1452" t="str">
        <v>2020-10-08</v>
      </c>
      <c r="C1452">
        <v>114.97</v>
      </c>
      <c r="D1452" s="2"/>
    </row>
    <row r="1453" spans="2:4" x14ac:dyDescent="0.3">
      <c r="B1453" t="str">
        <v>2020-10-07</v>
      </c>
      <c r="C1453">
        <v>115.08</v>
      </c>
      <c r="D1453" s="2"/>
    </row>
    <row r="1454" spans="2:4" x14ac:dyDescent="0.3">
      <c r="B1454" t="str">
        <v>2020-10-06</v>
      </c>
      <c r="C1454">
        <v>113.16</v>
      </c>
      <c r="D1454" s="2"/>
    </row>
    <row r="1455" spans="2:4" x14ac:dyDescent="0.3">
      <c r="B1455" t="str">
        <v>2020-10-05</v>
      </c>
      <c r="C1455">
        <v>116.5</v>
      </c>
      <c r="D1455" s="2"/>
    </row>
    <row r="1456" spans="2:4" x14ac:dyDescent="0.3">
      <c r="B1456" t="str">
        <v>2020-10-02</v>
      </c>
      <c r="C1456">
        <v>113.02</v>
      </c>
      <c r="D1456" s="2"/>
    </row>
    <row r="1457" spans="2:4" x14ac:dyDescent="0.3">
      <c r="B1457" t="str">
        <v>2020-10-01</v>
      </c>
      <c r="C1457">
        <v>116.79</v>
      </c>
      <c r="D1457" s="2"/>
    </row>
    <row r="1458" spans="2:4" x14ac:dyDescent="0.3">
      <c r="B1458" t="str">
        <v>2020-09-30</v>
      </c>
      <c r="C1458">
        <v>115.81</v>
      </c>
      <c r="D1458" s="2"/>
    </row>
    <row r="1459" spans="2:4" x14ac:dyDescent="0.3">
      <c r="B1459" t="str">
        <v>2020-09-29</v>
      </c>
      <c r="C1459">
        <v>114.09</v>
      </c>
      <c r="D1459" s="2"/>
    </row>
    <row r="1460" spans="2:4" x14ac:dyDescent="0.3">
      <c r="B1460" t="str">
        <v>2020-09-28</v>
      </c>
      <c r="C1460">
        <v>114.96</v>
      </c>
      <c r="D1460" s="2"/>
    </row>
    <row r="1461" spans="2:4" x14ac:dyDescent="0.3">
      <c r="B1461" t="str">
        <v>2020-09-25</v>
      </c>
      <c r="C1461">
        <v>112.28</v>
      </c>
      <c r="D1461" s="2"/>
    </row>
    <row r="1462" spans="2:4" x14ac:dyDescent="0.3">
      <c r="B1462" t="str">
        <v>2020-09-24</v>
      </c>
      <c r="C1462">
        <v>108.22</v>
      </c>
      <c r="D1462" s="2"/>
    </row>
    <row r="1463" spans="2:4" x14ac:dyDescent="0.3">
      <c r="B1463" t="str">
        <v>2020-09-23</v>
      </c>
      <c r="C1463">
        <v>107.12</v>
      </c>
      <c r="D1463" s="2"/>
    </row>
    <row r="1464" spans="2:4" x14ac:dyDescent="0.3">
      <c r="B1464" t="str">
        <v>2020-09-22</v>
      </c>
      <c r="C1464">
        <v>111.81</v>
      </c>
      <c r="D1464" s="2"/>
    </row>
    <row r="1465" spans="2:4" x14ac:dyDescent="0.3">
      <c r="B1465" t="str">
        <v>2020-09-21</v>
      </c>
      <c r="C1465">
        <v>110.08</v>
      </c>
      <c r="D1465" s="2"/>
    </row>
    <row r="1466" spans="2:4" x14ac:dyDescent="0.3">
      <c r="B1466" t="str">
        <v>2020-09-18</v>
      </c>
      <c r="C1466">
        <v>106.84</v>
      </c>
      <c r="D1466" s="2"/>
    </row>
    <row r="1467" spans="2:4" x14ac:dyDescent="0.3">
      <c r="B1467" t="str">
        <v>2020-09-17</v>
      </c>
      <c r="C1467">
        <v>110.34</v>
      </c>
      <c r="D1467" s="2"/>
    </row>
    <row r="1468" spans="2:4" x14ac:dyDescent="0.3">
      <c r="B1468" t="str">
        <v>2020-09-16</v>
      </c>
      <c r="C1468">
        <v>112.13</v>
      </c>
      <c r="D1468" s="2"/>
    </row>
    <row r="1469" spans="2:4" x14ac:dyDescent="0.3">
      <c r="B1469" t="str">
        <v>2020-09-15</v>
      </c>
      <c r="C1469">
        <v>115.54</v>
      </c>
      <c r="D1469" s="2"/>
    </row>
    <row r="1470" spans="2:4" x14ac:dyDescent="0.3">
      <c r="B1470" t="str">
        <v>2020-09-14</v>
      </c>
      <c r="C1470">
        <v>115.36</v>
      </c>
      <c r="D1470" s="2"/>
    </row>
    <row r="1471" spans="2:4" x14ac:dyDescent="0.3">
      <c r="B1471" t="str">
        <v>2020-09-11</v>
      </c>
      <c r="C1471">
        <v>112</v>
      </c>
      <c r="D1471" s="2"/>
    </row>
    <row r="1472" spans="2:4" x14ac:dyDescent="0.3">
      <c r="B1472" t="str">
        <v>2020-09-10</v>
      </c>
      <c r="C1472">
        <v>113.49</v>
      </c>
      <c r="D1472" s="2"/>
    </row>
    <row r="1473" spans="2:4" x14ac:dyDescent="0.3">
      <c r="B1473" t="str">
        <v>2020-09-09</v>
      </c>
      <c r="C1473">
        <v>117.32</v>
      </c>
      <c r="D1473" s="2"/>
    </row>
    <row r="1474" spans="2:4" x14ac:dyDescent="0.3">
      <c r="B1474" t="str">
        <v>2020-09-08</v>
      </c>
      <c r="C1474">
        <v>112.82</v>
      </c>
      <c r="D1474" s="2"/>
    </row>
    <row r="1475" spans="2:4" x14ac:dyDescent="0.3">
      <c r="B1475" t="str">
        <v>2020-09-04</v>
      </c>
      <c r="C1475">
        <v>120.96</v>
      </c>
      <c r="D1475" s="2"/>
    </row>
    <row r="1476" spans="2:4" x14ac:dyDescent="0.3">
      <c r="B1476" t="str">
        <v>2020-09-03</v>
      </c>
      <c r="C1476">
        <v>120.88</v>
      </c>
      <c r="D1476" s="2"/>
    </row>
    <row r="1477" spans="2:4" x14ac:dyDescent="0.3">
      <c r="B1477" t="str">
        <v>2020-09-02</v>
      </c>
      <c r="C1477">
        <v>131.4</v>
      </c>
      <c r="D1477" s="2"/>
    </row>
    <row r="1478" spans="2:4" x14ac:dyDescent="0.3">
      <c r="B1478" t="str">
        <v>2020-09-01</v>
      </c>
      <c r="C1478">
        <v>134.18</v>
      </c>
      <c r="D1478" s="2"/>
    </row>
    <row r="1479" spans="2:4" x14ac:dyDescent="0.3">
      <c r="B1479" t="str">
        <v>2020-08-31</v>
      </c>
      <c r="C1479">
        <v>129.04</v>
      </c>
      <c r="D1479" s="2"/>
    </row>
    <row r="1480" spans="2:4" x14ac:dyDescent="0.3">
      <c r="B1480" t="str">
        <v>2020-08-28</v>
      </c>
      <c r="C1480">
        <v>124.81</v>
      </c>
      <c r="D1480" s="2"/>
    </row>
    <row r="1481" spans="2:4" x14ac:dyDescent="0.3">
      <c r="B1481" t="str">
        <v>2020-08-27</v>
      </c>
      <c r="C1481">
        <v>125.01</v>
      </c>
      <c r="D1481" s="2"/>
    </row>
    <row r="1482" spans="2:4" x14ac:dyDescent="0.3">
      <c r="B1482" t="str">
        <v>2020-08-26</v>
      </c>
      <c r="C1482">
        <v>126.52</v>
      </c>
      <c r="D1482" s="2"/>
    </row>
    <row r="1483" spans="2:4" x14ac:dyDescent="0.3">
      <c r="B1483" t="str">
        <v>2020-08-25</v>
      </c>
      <c r="C1483">
        <v>124.83</v>
      </c>
      <c r="D1483" s="2"/>
    </row>
    <row r="1484" spans="2:4" x14ac:dyDescent="0.3">
      <c r="B1484" t="str">
        <v>2020-08-24</v>
      </c>
      <c r="C1484">
        <v>125.86</v>
      </c>
      <c r="D1484" s="2"/>
    </row>
    <row r="1485" spans="2:4" x14ac:dyDescent="0.3">
      <c r="B1485" t="str">
        <v>2020-08-21</v>
      </c>
      <c r="C1485">
        <v>124.37</v>
      </c>
      <c r="D1485" s="2"/>
    </row>
    <row r="1486" spans="2:4" x14ac:dyDescent="0.3">
      <c r="B1486" t="str">
        <v>2020-08-20</v>
      </c>
      <c r="C1486">
        <v>118.28</v>
      </c>
      <c r="D1486" s="2"/>
    </row>
    <row r="1487" spans="2:4" x14ac:dyDescent="0.3">
      <c r="B1487" t="str">
        <v>2020-08-19</v>
      </c>
      <c r="C1487">
        <v>115.71</v>
      </c>
      <c r="D1487" s="2"/>
    </row>
    <row r="1488" spans="2:4" x14ac:dyDescent="0.3">
      <c r="B1488" t="str">
        <v>2020-08-18</v>
      </c>
      <c r="C1488">
        <v>115.56</v>
      </c>
      <c r="D1488" s="2"/>
    </row>
    <row r="1489" spans="2:4" x14ac:dyDescent="0.3">
      <c r="B1489" t="str">
        <v>2020-08-17</v>
      </c>
      <c r="C1489">
        <v>114.61</v>
      </c>
      <c r="D1489" s="2"/>
    </row>
    <row r="1490" spans="2:4" x14ac:dyDescent="0.3">
      <c r="B1490" t="str">
        <v>2020-08-14</v>
      </c>
      <c r="C1490">
        <v>114.91</v>
      </c>
      <c r="D1490" s="2"/>
    </row>
    <row r="1491" spans="2:4" x14ac:dyDescent="0.3">
      <c r="B1491" t="str">
        <v>2020-08-13</v>
      </c>
      <c r="C1491">
        <v>115.01</v>
      </c>
      <c r="D1491" s="2"/>
    </row>
    <row r="1492" spans="2:4" x14ac:dyDescent="0.3">
      <c r="B1492" t="str">
        <v>2020-08-12</v>
      </c>
      <c r="C1492">
        <v>113.01</v>
      </c>
      <c r="D1492" s="2"/>
    </row>
    <row r="1493" spans="2:4" x14ac:dyDescent="0.3">
      <c r="B1493" t="str">
        <v>2020-08-11</v>
      </c>
      <c r="C1493">
        <v>109.38</v>
      </c>
      <c r="D1493" s="2"/>
    </row>
    <row r="1494" spans="2:4" x14ac:dyDescent="0.3">
      <c r="B1494" t="str">
        <v>2020-08-10</v>
      </c>
      <c r="C1494">
        <v>112.73</v>
      </c>
      <c r="D1494" s="2"/>
    </row>
    <row r="1495" spans="2:4" x14ac:dyDescent="0.3">
      <c r="B1495" t="str">
        <v>2020-08-07</v>
      </c>
      <c r="C1495">
        <v>111.11</v>
      </c>
      <c r="D1495" s="2"/>
    </row>
    <row r="1496" spans="2:4" x14ac:dyDescent="0.3">
      <c r="B1496" t="str">
        <v>2020-08-06</v>
      </c>
      <c r="C1496">
        <v>113.9</v>
      </c>
      <c r="D1496" s="2"/>
    </row>
    <row r="1497" spans="2:4" x14ac:dyDescent="0.3">
      <c r="B1497" t="str">
        <v>2020-08-05</v>
      </c>
      <c r="C1497">
        <v>110.06</v>
      </c>
      <c r="D1497" s="2"/>
    </row>
    <row r="1498" spans="2:4" x14ac:dyDescent="0.3">
      <c r="B1498" t="str">
        <v>2020-08-04</v>
      </c>
      <c r="C1498">
        <v>109.67</v>
      </c>
      <c r="D1498" s="2"/>
    </row>
    <row r="1499" spans="2:4" x14ac:dyDescent="0.3">
      <c r="B1499" t="str">
        <v>2020-08-03</v>
      </c>
      <c r="C1499">
        <v>108.94</v>
      </c>
      <c r="D1499" s="2"/>
    </row>
    <row r="1500" spans="2:4" x14ac:dyDescent="0.3">
      <c r="B1500" t="str">
        <v>2020-07-31</v>
      </c>
      <c r="C1500">
        <v>106.26</v>
      </c>
      <c r="D1500" s="2"/>
    </row>
    <row r="1501" spans="2:4" x14ac:dyDescent="0.3">
      <c r="B1501" t="str">
        <v>2020-07-30</v>
      </c>
      <c r="C1501">
        <v>96.19</v>
      </c>
      <c r="D1501" s="2"/>
    </row>
    <row r="1502" spans="2:4" x14ac:dyDescent="0.3">
      <c r="B1502" t="str">
        <v>2020-07-29</v>
      </c>
      <c r="C1502">
        <v>95.04</v>
      </c>
      <c r="D1502" s="2"/>
    </row>
    <row r="1503" spans="2:4" x14ac:dyDescent="0.3">
      <c r="B1503" t="str">
        <v>2020-07-28</v>
      </c>
      <c r="C1503">
        <v>93.25</v>
      </c>
      <c r="D1503" s="2"/>
    </row>
    <row r="1504" spans="2:4" x14ac:dyDescent="0.3">
      <c r="B1504" t="str">
        <v>2020-07-27</v>
      </c>
      <c r="C1504">
        <v>94.81</v>
      </c>
      <c r="D1504" s="2"/>
    </row>
    <row r="1505" spans="2:4" x14ac:dyDescent="0.3">
      <c r="B1505" t="str">
        <v>2020-07-24</v>
      </c>
      <c r="C1505">
        <v>92.62</v>
      </c>
      <c r="D1505" s="2"/>
    </row>
    <row r="1506" spans="2:4" x14ac:dyDescent="0.3">
      <c r="B1506" t="str">
        <v>2020-07-23</v>
      </c>
      <c r="C1506">
        <v>92.85</v>
      </c>
      <c r="D1506" s="2"/>
    </row>
    <row r="1507" spans="2:4" x14ac:dyDescent="0.3">
      <c r="B1507" t="str">
        <v>2020-07-22</v>
      </c>
      <c r="C1507">
        <v>97.27</v>
      </c>
      <c r="D1507" s="2"/>
    </row>
    <row r="1508" spans="2:4" x14ac:dyDescent="0.3">
      <c r="B1508" t="str">
        <v>2020-07-21</v>
      </c>
      <c r="C1508">
        <v>97</v>
      </c>
      <c r="D1508" s="2"/>
    </row>
    <row r="1509" spans="2:4" x14ac:dyDescent="0.3">
      <c r="B1509" t="str">
        <v>2020-07-20</v>
      </c>
      <c r="C1509">
        <v>98.36</v>
      </c>
      <c r="D1509" s="2"/>
    </row>
    <row r="1510" spans="2:4" x14ac:dyDescent="0.3">
      <c r="B1510" t="str">
        <v>2020-07-17</v>
      </c>
      <c r="C1510">
        <v>96.33</v>
      </c>
      <c r="D1510" s="2"/>
    </row>
    <row r="1511" spans="2:4" x14ac:dyDescent="0.3">
      <c r="B1511" t="str">
        <v>2020-07-16</v>
      </c>
      <c r="C1511">
        <v>96.52</v>
      </c>
      <c r="D1511" s="2"/>
    </row>
    <row r="1512" spans="2:4" x14ac:dyDescent="0.3">
      <c r="B1512" t="str">
        <v>2020-07-15</v>
      </c>
      <c r="C1512">
        <v>97.73</v>
      </c>
      <c r="D1512" s="2"/>
    </row>
    <row r="1513" spans="2:4" x14ac:dyDescent="0.3">
      <c r="B1513" t="str">
        <v>2020-07-14</v>
      </c>
      <c r="C1513">
        <v>97.06</v>
      </c>
      <c r="D1513" s="2"/>
    </row>
    <row r="1514" spans="2:4" x14ac:dyDescent="0.3">
      <c r="B1514" t="str">
        <v>2020-07-13</v>
      </c>
      <c r="C1514">
        <v>95.48</v>
      </c>
      <c r="D1514" s="2"/>
    </row>
    <row r="1515" spans="2:4" x14ac:dyDescent="0.3">
      <c r="B1515" t="str">
        <v>2020-07-10</v>
      </c>
      <c r="C1515">
        <v>95.92</v>
      </c>
      <c r="D1515" s="2"/>
    </row>
    <row r="1516" spans="2:4" x14ac:dyDescent="0.3">
      <c r="B1516" t="str">
        <v>2020-07-09</v>
      </c>
      <c r="C1516">
        <v>95.68</v>
      </c>
      <c r="D1516" s="2"/>
    </row>
    <row r="1517" spans="2:4" x14ac:dyDescent="0.3">
      <c r="B1517" t="str">
        <v>2020-07-08</v>
      </c>
      <c r="C1517">
        <v>95.34</v>
      </c>
      <c r="D1517" s="2"/>
    </row>
    <row r="1518" spans="2:4" x14ac:dyDescent="0.3">
      <c r="B1518" t="str">
        <v>2020-07-07</v>
      </c>
      <c r="C1518">
        <v>93.17</v>
      </c>
      <c r="D1518" s="2"/>
    </row>
    <row r="1519" spans="2:4" x14ac:dyDescent="0.3">
      <c r="B1519" t="str">
        <v>2020-07-06</v>
      </c>
      <c r="C1519">
        <v>93.46</v>
      </c>
      <c r="D1519" s="2"/>
    </row>
    <row r="1520" spans="2:4" x14ac:dyDescent="0.3">
      <c r="B1520" t="str">
        <v>2020-07-02</v>
      </c>
      <c r="C1520">
        <v>91.03</v>
      </c>
      <c r="D1520" s="2"/>
    </row>
    <row r="1521" spans="2:4" x14ac:dyDescent="0.3">
      <c r="B1521" t="str">
        <v>2020-07-01</v>
      </c>
      <c r="C1521">
        <v>91.03</v>
      </c>
      <c r="D1521" s="2"/>
    </row>
    <row r="1522" spans="2:4" x14ac:dyDescent="0.3">
      <c r="B1522" t="str">
        <v>2020-06-30</v>
      </c>
      <c r="C1522">
        <v>91.2</v>
      </c>
      <c r="D1522" s="2"/>
    </row>
    <row r="1523" spans="2:4" x14ac:dyDescent="0.3">
      <c r="B1523" t="str">
        <v>2020-06-29</v>
      </c>
      <c r="C1523">
        <v>90.45</v>
      </c>
      <c r="D1523" s="2"/>
    </row>
    <row r="1524" spans="2:4" x14ac:dyDescent="0.3">
      <c r="B1524" t="str">
        <v>2020-06-26</v>
      </c>
      <c r="C1524">
        <v>88.41</v>
      </c>
      <c r="D1524" s="2"/>
    </row>
    <row r="1525" spans="2:4" x14ac:dyDescent="0.3">
      <c r="B1525" t="str">
        <v>2020-06-25</v>
      </c>
      <c r="C1525">
        <v>91.21</v>
      </c>
      <c r="D1525" s="2"/>
    </row>
    <row r="1526" spans="2:4" x14ac:dyDescent="0.3">
      <c r="B1526" t="str">
        <v>2020-06-24</v>
      </c>
      <c r="C1526">
        <v>90.02</v>
      </c>
      <c r="D1526" s="2"/>
    </row>
    <row r="1527" spans="2:4" x14ac:dyDescent="0.3">
      <c r="B1527" t="str">
        <v>2020-06-23</v>
      </c>
      <c r="C1527">
        <v>91.63</v>
      </c>
      <c r="D1527" s="2"/>
    </row>
    <row r="1528" spans="2:4" x14ac:dyDescent="0.3">
      <c r="B1528" t="str">
        <v>2020-06-22</v>
      </c>
      <c r="C1528">
        <v>89.72</v>
      </c>
      <c r="D1528" s="2"/>
    </row>
    <row r="1529" spans="2:4" x14ac:dyDescent="0.3">
      <c r="B1529" t="str">
        <v>2020-06-19</v>
      </c>
      <c r="C1529">
        <v>87.43</v>
      </c>
      <c r="D1529" s="2"/>
    </row>
    <row r="1530" spans="2:4" x14ac:dyDescent="0.3">
      <c r="B1530" t="str">
        <v>2020-06-18</v>
      </c>
      <c r="C1530">
        <v>87.93</v>
      </c>
      <c r="D1530" s="2"/>
    </row>
    <row r="1531" spans="2:4" x14ac:dyDescent="0.3">
      <c r="B1531" t="str">
        <v>2020-06-17</v>
      </c>
      <c r="C1531">
        <v>87.9</v>
      </c>
      <c r="D1531" s="2"/>
    </row>
    <row r="1532" spans="2:4" x14ac:dyDescent="0.3">
      <c r="B1532" t="str">
        <v>2020-06-16</v>
      </c>
      <c r="C1532">
        <v>88.02</v>
      </c>
      <c r="D1532" s="2"/>
    </row>
    <row r="1533" spans="2:4" x14ac:dyDescent="0.3">
      <c r="B1533" t="str">
        <v>2020-06-15</v>
      </c>
      <c r="C1533">
        <v>85.75</v>
      </c>
      <c r="D1533" s="2"/>
    </row>
    <row r="1534" spans="2:4" x14ac:dyDescent="0.3">
      <c r="B1534" t="str">
        <v>2020-06-12</v>
      </c>
      <c r="C1534">
        <v>84.7</v>
      </c>
      <c r="D1534" s="2"/>
    </row>
    <row r="1535" spans="2:4" x14ac:dyDescent="0.3">
      <c r="B1535" t="str">
        <v>2020-06-11</v>
      </c>
      <c r="C1535">
        <v>83.98</v>
      </c>
      <c r="D1535" s="2"/>
    </row>
    <row r="1536" spans="2:4" x14ac:dyDescent="0.3">
      <c r="B1536" t="str">
        <v>2020-06-10</v>
      </c>
      <c r="C1536">
        <v>88.21</v>
      </c>
      <c r="D1536" s="2"/>
    </row>
    <row r="1537" spans="2:4" x14ac:dyDescent="0.3">
      <c r="B1537" t="str">
        <v>2020-06-09</v>
      </c>
      <c r="C1537">
        <v>86</v>
      </c>
      <c r="D1537" s="2"/>
    </row>
    <row r="1538" spans="2:4" x14ac:dyDescent="0.3">
      <c r="B1538" t="str">
        <v>2020-06-08</v>
      </c>
      <c r="C1538">
        <v>83.37</v>
      </c>
      <c r="D1538" s="2"/>
    </row>
    <row r="1539" spans="2:4" x14ac:dyDescent="0.3">
      <c r="B1539" t="str">
        <v>2020-06-05</v>
      </c>
      <c r="C1539">
        <v>82.88</v>
      </c>
      <c r="D1539" s="2"/>
    </row>
    <row r="1540" spans="2:4" x14ac:dyDescent="0.3">
      <c r="B1540" t="str">
        <v>2020-06-04</v>
      </c>
      <c r="C1540">
        <v>80.58</v>
      </c>
      <c r="D1540" s="2"/>
    </row>
    <row r="1541" spans="2:4" x14ac:dyDescent="0.3">
      <c r="B1541" t="str">
        <v>2020-06-03</v>
      </c>
      <c r="C1541">
        <v>81.28</v>
      </c>
      <c r="D1541" s="2"/>
    </row>
    <row r="1542" spans="2:4" x14ac:dyDescent="0.3">
      <c r="B1542" t="str">
        <v>2020-06-02</v>
      </c>
      <c r="C1542">
        <v>80.83</v>
      </c>
      <c r="D1542" s="2"/>
    </row>
    <row r="1543" spans="2:4" x14ac:dyDescent="0.3">
      <c r="B1543" t="str">
        <v>2020-06-01</v>
      </c>
      <c r="C1543">
        <v>80.459999999999994</v>
      </c>
      <c r="D1543" s="2"/>
    </row>
    <row r="1544" spans="2:4" x14ac:dyDescent="0.3">
      <c r="B1544" t="str">
        <v>2020-05-29</v>
      </c>
      <c r="C1544">
        <v>79.489999999999995</v>
      </c>
      <c r="D1544" s="2"/>
    </row>
    <row r="1545" spans="2:4" x14ac:dyDescent="0.3">
      <c r="B1545" t="str">
        <v>2020-05-28</v>
      </c>
      <c r="C1545">
        <v>79.56</v>
      </c>
      <c r="D1545" s="2"/>
    </row>
    <row r="1546" spans="2:4" x14ac:dyDescent="0.3">
      <c r="B1546" t="str">
        <v>2020-05-27</v>
      </c>
      <c r="C1546">
        <v>79.53</v>
      </c>
      <c r="D1546" s="2"/>
    </row>
    <row r="1547" spans="2:4" x14ac:dyDescent="0.3">
      <c r="B1547" t="str">
        <v>2020-05-26</v>
      </c>
      <c r="C1547">
        <v>79.180000000000007</v>
      </c>
      <c r="D1547" s="2"/>
    </row>
    <row r="1548" spans="2:4" x14ac:dyDescent="0.3">
      <c r="B1548" t="str">
        <v>2020-05-22</v>
      </c>
      <c r="C1548">
        <v>79.72</v>
      </c>
      <c r="D1548" s="2"/>
    </row>
    <row r="1549" spans="2:4" x14ac:dyDescent="0.3">
      <c r="B1549" t="str">
        <v>2020-05-21</v>
      </c>
      <c r="C1549">
        <v>79.209999999999994</v>
      </c>
      <c r="D1549" s="2"/>
    </row>
    <row r="1550" spans="2:4" x14ac:dyDescent="0.3">
      <c r="B1550" t="str">
        <v>2020-05-20</v>
      </c>
      <c r="C1550">
        <v>79.81</v>
      </c>
      <c r="D1550" s="2"/>
    </row>
    <row r="1551" spans="2:4" x14ac:dyDescent="0.3">
      <c r="B1551" t="str">
        <v>2020-05-19</v>
      </c>
      <c r="C1551">
        <v>78.290000000000006</v>
      </c>
      <c r="D1551" s="2"/>
    </row>
    <row r="1552" spans="2:4" x14ac:dyDescent="0.3">
      <c r="B1552" t="str">
        <v>2020-05-18</v>
      </c>
      <c r="C1552">
        <v>78.739999999999995</v>
      </c>
      <c r="D1552" s="2"/>
    </row>
    <row r="1553" spans="2:4" x14ac:dyDescent="0.3">
      <c r="B1553" t="str">
        <v>2020-05-15</v>
      </c>
      <c r="C1553">
        <v>76.930000000000007</v>
      </c>
      <c r="D1553" s="2"/>
    </row>
    <row r="1554" spans="2:4" x14ac:dyDescent="0.3">
      <c r="B1554" t="str">
        <v>2020-05-14</v>
      </c>
      <c r="C1554">
        <v>77.39</v>
      </c>
      <c r="D1554" s="2"/>
    </row>
    <row r="1555" spans="2:4" x14ac:dyDescent="0.3">
      <c r="B1555" t="str">
        <v>2020-05-13</v>
      </c>
      <c r="C1555">
        <v>76.91</v>
      </c>
      <c r="D1555" s="2"/>
    </row>
    <row r="1556" spans="2:4" x14ac:dyDescent="0.3">
      <c r="B1556" t="str">
        <v>2020-05-12</v>
      </c>
      <c r="C1556">
        <v>77.849999999999994</v>
      </c>
      <c r="D1556" s="2"/>
    </row>
    <row r="1557" spans="2:4" x14ac:dyDescent="0.3">
      <c r="B1557" t="str">
        <v>2020-05-11</v>
      </c>
      <c r="C1557">
        <v>78.75</v>
      </c>
      <c r="D1557" s="2"/>
    </row>
    <row r="1558" spans="2:4" x14ac:dyDescent="0.3">
      <c r="B1558" t="str">
        <v>2020-05-08</v>
      </c>
      <c r="C1558">
        <v>77.53</v>
      </c>
      <c r="D1558" s="2"/>
    </row>
    <row r="1559" spans="2:4" x14ac:dyDescent="0.3">
      <c r="B1559" t="str">
        <v>2020-05-07</v>
      </c>
      <c r="C1559">
        <v>75.94</v>
      </c>
      <c r="D1559" s="2"/>
    </row>
    <row r="1560" spans="2:4" x14ac:dyDescent="0.3">
      <c r="B1560" t="str">
        <v>2020-05-06</v>
      </c>
      <c r="C1560">
        <v>75.16</v>
      </c>
      <c r="D1560" s="2"/>
    </row>
    <row r="1561" spans="2:4" x14ac:dyDescent="0.3">
      <c r="B1561" t="str">
        <v>2020-05-05</v>
      </c>
      <c r="C1561">
        <v>74.39</v>
      </c>
      <c r="D1561" s="2"/>
    </row>
    <row r="1562" spans="2:4" x14ac:dyDescent="0.3">
      <c r="B1562" t="str">
        <v>2020-05-04</v>
      </c>
      <c r="C1562">
        <v>73.290000000000006</v>
      </c>
      <c r="D1562" s="2"/>
    </row>
    <row r="1563" spans="2:4" x14ac:dyDescent="0.3">
      <c r="B1563" t="str">
        <v>2020-05-01</v>
      </c>
      <c r="C1563">
        <v>72.27</v>
      </c>
      <c r="D1563" s="2"/>
    </row>
    <row r="1564" spans="2:4" x14ac:dyDescent="0.3">
      <c r="B1564" t="str">
        <v>2020-04-30</v>
      </c>
      <c r="C1564">
        <v>73.45</v>
      </c>
      <c r="D1564" s="2"/>
    </row>
    <row r="1565" spans="2:4" x14ac:dyDescent="0.3">
      <c r="B1565" t="str">
        <v>2020-04-29</v>
      </c>
      <c r="C1565">
        <v>71.930000000000007</v>
      </c>
      <c r="D1565" s="2"/>
    </row>
    <row r="1566" spans="2:4" x14ac:dyDescent="0.3">
      <c r="B1566" t="str">
        <v>2020-04-28</v>
      </c>
      <c r="C1566">
        <v>69.650000000000006</v>
      </c>
      <c r="D1566" s="2"/>
    </row>
    <row r="1567" spans="2:4" x14ac:dyDescent="0.3">
      <c r="B1567" t="str">
        <v>2020-04-27</v>
      </c>
      <c r="C1567">
        <v>70.790000000000006</v>
      </c>
      <c r="D1567" s="2"/>
    </row>
    <row r="1568" spans="2:4" x14ac:dyDescent="0.3">
      <c r="B1568" t="str">
        <v>2020-04-24</v>
      </c>
      <c r="C1568">
        <v>70.739999999999995</v>
      </c>
      <c r="D1568" s="2"/>
    </row>
    <row r="1569" spans="2:4" x14ac:dyDescent="0.3">
      <c r="B1569" t="str">
        <v>2020-04-23</v>
      </c>
      <c r="C1569">
        <v>68.760000000000005</v>
      </c>
      <c r="D1569" s="2"/>
    </row>
    <row r="1570" spans="2:4" x14ac:dyDescent="0.3">
      <c r="B1570" t="str">
        <v>2020-04-22</v>
      </c>
      <c r="C1570">
        <v>69.03</v>
      </c>
      <c r="D1570" s="2"/>
    </row>
    <row r="1571" spans="2:4" x14ac:dyDescent="0.3">
      <c r="B1571" t="str">
        <v>2020-04-21</v>
      </c>
      <c r="C1571">
        <v>67.09</v>
      </c>
      <c r="D1571" s="2"/>
    </row>
    <row r="1572" spans="2:4" x14ac:dyDescent="0.3">
      <c r="B1572" t="str">
        <v>2020-04-20</v>
      </c>
      <c r="C1572">
        <v>69.23</v>
      </c>
      <c r="D1572" s="2"/>
    </row>
    <row r="1573" spans="2:4" x14ac:dyDescent="0.3">
      <c r="B1573" t="str">
        <v>2020-04-17</v>
      </c>
      <c r="C1573">
        <v>70.7</v>
      </c>
      <c r="D1573" s="2"/>
    </row>
    <row r="1574" spans="2:4" x14ac:dyDescent="0.3">
      <c r="B1574" t="str">
        <v>2020-04-16</v>
      </c>
      <c r="C1574">
        <v>71.67</v>
      </c>
      <c r="D1574" s="2"/>
    </row>
    <row r="1575" spans="2:4" x14ac:dyDescent="0.3">
      <c r="B1575" t="str">
        <v>2020-04-15</v>
      </c>
      <c r="C1575">
        <v>71.11</v>
      </c>
      <c r="D1575" s="2"/>
    </row>
    <row r="1576" spans="2:4" x14ac:dyDescent="0.3">
      <c r="B1576" t="str">
        <v>2020-04-14</v>
      </c>
      <c r="C1576">
        <v>71.760000000000005</v>
      </c>
      <c r="D1576" s="2"/>
    </row>
    <row r="1577" spans="2:4" x14ac:dyDescent="0.3">
      <c r="B1577" t="str">
        <v>2020-04-13</v>
      </c>
      <c r="C1577">
        <v>68.31</v>
      </c>
      <c r="D1577" s="2"/>
    </row>
    <row r="1578" spans="2:4" x14ac:dyDescent="0.3">
      <c r="B1578" t="str">
        <v>2020-04-09</v>
      </c>
      <c r="C1578">
        <v>67</v>
      </c>
      <c r="D1578" s="2"/>
    </row>
    <row r="1579" spans="2:4" x14ac:dyDescent="0.3">
      <c r="B1579" t="str">
        <v>2020-04-08</v>
      </c>
      <c r="C1579">
        <v>66.52</v>
      </c>
      <c r="D1579" s="2"/>
    </row>
    <row r="1580" spans="2:4" x14ac:dyDescent="0.3">
      <c r="B1580" t="str">
        <v>2020-04-07</v>
      </c>
      <c r="C1580">
        <v>64.86</v>
      </c>
      <c r="D1580" s="2"/>
    </row>
    <row r="1581" spans="2:4" x14ac:dyDescent="0.3">
      <c r="B1581" t="str">
        <v>2020-04-06</v>
      </c>
      <c r="C1581">
        <v>65.62</v>
      </c>
      <c r="D1581" s="2"/>
    </row>
    <row r="1582" spans="2:4" x14ac:dyDescent="0.3">
      <c r="B1582" t="str">
        <v>2020-04-03</v>
      </c>
      <c r="C1582">
        <v>60.35</v>
      </c>
      <c r="D1582" s="2"/>
    </row>
    <row r="1583" spans="2:4" x14ac:dyDescent="0.3">
      <c r="B1583" t="str">
        <v>2020-04-02</v>
      </c>
      <c r="C1583">
        <v>61.23</v>
      </c>
      <c r="D1583" s="2"/>
    </row>
    <row r="1584" spans="2:4" x14ac:dyDescent="0.3">
      <c r="B1584" t="str">
        <v>2020-04-01</v>
      </c>
      <c r="C1584">
        <v>60.23</v>
      </c>
      <c r="D1584" s="2"/>
    </row>
    <row r="1585" spans="2:4" x14ac:dyDescent="0.3">
      <c r="B1585" t="str">
        <v>2020-03-31</v>
      </c>
      <c r="C1585">
        <v>63.57</v>
      </c>
      <c r="D1585" s="2"/>
    </row>
    <row r="1586" spans="2:4" x14ac:dyDescent="0.3">
      <c r="B1586" t="str">
        <v>2020-03-30</v>
      </c>
      <c r="C1586">
        <v>63.7</v>
      </c>
      <c r="D1586" s="2"/>
    </row>
    <row r="1587" spans="2:4" x14ac:dyDescent="0.3">
      <c r="B1587" t="str">
        <v>2020-03-27</v>
      </c>
      <c r="C1587">
        <v>61.94</v>
      </c>
      <c r="D1587" s="2"/>
    </row>
    <row r="1588" spans="2:4" x14ac:dyDescent="0.3">
      <c r="B1588" t="str">
        <v>2020-03-26</v>
      </c>
      <c r="C1588">
        <v>64.61</v>
      </c>
      <c r="D1588" s="2"/>
    </row>
    <row r="1589" spans="2:4" x14ac:dyDescent="0.3">
      <c r="B1589" t="str">
        <v>2020-03-25</v>
      </c>
      <c r="C1589">
        <v>61.38</v>
      </c>
      <c r="D1589" s="2"/>
    </row>
    <row r="1590" spans="2:4" x14ac:dyDescent="0.3">
      <c r="B1590" t="str">
        <v>2020-03-24</v>
      </c>
      <c r="C1590">
        <v>61.72</v>
      </c>
      <c r="D1590" s="2"/>
    </row>
    <row r="1591" spans="2:4" x14ac:dyDescent="0.3">
      <c r="B1591" t="str">
        <v>2020-03-23</v>
      </c>
      <c r="C1591">
        <v>56.09</v>
      </c>
      <c r="D1591" s="2"/>
    </row>
    <row r="1592" spans="2:4" x14ac:dyDescent="0.3">
      <c r="B1592" t="str">
        <v>2020-03-20</v>
      </c>
      <c r="C1592">
        <v>57.31</v>
      </c>
      <c r="D1592" s="2"/>
    </row>
    <row r="1593" spans="2:4" x14ac:dyDescent="0.3">
      <c r="B1593" t="str">
        <v>2020-03-19</v>
      </c>
      <c r="C1593">
        <v>61.2</v>
      </c>
      <c r="D1593" s="2"/>
    </row>
    <row r="1594" spans="2:4" x14ac:dyDescent="0.3">
      <c r="B1594" t="str">
        <v>2020-03-18</v>
      </c>
      <c r="C1594">
        <v>61.67</v>
      </c>
      <c r="D1594" s="2"/>
    </row>
    <row r="1595" spans="2:4" x14ac:dyDescent="0.3">
      <c r="B1595" t="str">
        <v>2020-03-17</v>
      </c>
      <c r="C1595">
        <v>63.22</v>
      </c>
      <c r="D1595" s="2"/>
    </row>
    <row r="1596" spans="2:4" x14ac:dyDescent="0.3">
      <c r="B1596" t="str">
        <v>2020-03-16</v>
      </c>
      <c r="C1596">
        <v>60.55</v>
      </c>
      <c r="D1596" s="2"/>
    </row>
    <row r="1597" spans="2:4" x14ac:dyDescent="0.3">
      <c r="B1597" t="str">
        <v>2020-03-13</v>
      </c>
      <c r="C1597">
        <v>69.489999999999995</v>
      </c>
      <c r="D1597" s="2"/>
    </row>
    <row r="1598" spans="2:4" x14ac:dyDescent="0.3">
      <c r="B1598" t="str">
        <v>2020-03-12</v>
      </c>
      <c r="C1598">
        <v>62.06</v>
      </c>
      <c r="D1598" s="2"/>
    </row>
    <row r="1599" spans="2:4" x14ac:dyDescent="0.3">
      <c r="B1599" t="str">
        <v>2020-03-11</v>
      </c>
      <c r="C1599">
        <v>68.86</v>
      </c>
      <c r="D1599" s="2"/>
    </row>
    <row r="1600" spans="2:4" x14ac:dyDescent="0.3">
      <c r="B1600" t="str">
        <v>2020-03-10</v>
      </c>
      <c r="C1600">
        <v>71.33</v>
      </c>
      <c r="D1600" s="2"/>
    </row>
    <row r="1601" spans="2:4" x14ac:dyDescent="0.3">
      <c r="B1601" t="str">
        <v>2020-03-09</v>
      </c>
      <c r="C1601">
        <v>66.540000000000006</v>
      </c>
      <c r="D1601" s="2"/>
    </row>
    <row r="1602" spans="2:4" x14ac:dyDescent="0.3">
      <c r="B1602" t="str">
        <v>2020-03-06</v>
      </c>
      <c r="C1602">
        <v>72.260000000000005</v>
      </c>
      <c r="D1602" s="2"/>
    </row>
    <row r="1603" spans="2:4" x14ac:dyDescent="0.3">
      <c r="B1603" t="str">
        <v>2020-03-05</v>
      </c>
      <c r="C1603">
        <v>73.23</v>
      </c>
      <c r="D1603" s="2"/>
    </row>
    <row r="1604" spans="2:4" x14ac:dyDescent="0.3">
      <c r="B1604" t="str">
        <v>2020-03-04</v>
      </c>
      <c r="C1604">
        <v>75.69</v>
      </c>
      <c r="D1604" s="2"/>
    </row>
    <row r="1605" spans="2:4" x14ac:dyDescent="0.3">
      <c r="B1605" t="str">
        <v>2020-03-03</v>
      </c>
      <c r="C1605">
        <v>72.33</v>
      </c>
      <c r="D1605" s="2"/>
    </row>
    <row r="1606" spans="2:4" x14ac:dyDescent="0.3">
      <c r="B1606" t="str">
        <v>2020-03-02</v>
      </c>
      <c r="C1606">
        <v>74.7</v>
      </c>
      <c r="D1606" s="2"/>
    </row>
    <row r="1607" spans="2:4" x14ac:dyDescent="0.3">
      <c r="B1607" t="str">
        <v>2020-02-28</v>
      </c>
      <c r="C1607">
        <v>68.34</v>
      </c>
      <c r="D1607" s="2"/>
    </row>
    <row r="1608" spans="2:4" x14ac:dyDescent="0.3">
      <c r="B1608" t="str">
        <v>2020-02-27</v>
      </c>
      <c r="C1608">
        <v>68.38</v>
      </c>
      <c r="D1608" s="2"/>
    </row>
    <row r="1609" spans="2:4" x14ac:dyDescent="0.3">
      <c r="B1609" t="str">
        <v>2020-02-26</v>
      </c>
      <c r="C1609">
        <v>73.16</v>
      </c>
      <c r="D1609" s="2"/>
    </row>
    <row r="1610" spans="2:4" x14ac:dyDescent="0.3">
      <c r="B1610" t="str">
        <v>2020-02-25</v>
      </c>
      <c r="C1610">
        <v>72.02</v>
      </c>
      <c r="D1610" s="2"/>
    </row>
    <row r="1611" spans="2:4" x14ac:dyDescent="0.3">
      <c r="B1611" t="str">
        <v>2020-02-24</v>
      </c>
      <c r="C1611">
        <v>74.55</v>
      </c>
      <c r="D1611" s="2"/>
    </row>
    <row r="1612" spans="2:4" x14ac:dyDescent="0.3">
      <c r="B1612" t="str">
        <v>2020-02-21</v>
      </c>
      <c r="C1612">
        <v>78.260000000000005</v>
      </c>
      <c r="D1612" s="2"/>
    </row>
    <row r="1613" spans="2:4" x14ac:dyDescent="0.3">
      <c r="B1613" t="str">
        <v>2020-02-20</v>
      </c>
      <c r="C1613">
        <v>80.08</v>
      </c>
      <c r="D1613" s="2"/>
    </row>
    <row r="1614" spans="2:4" x14ac:dyDescent="0.3">
      <c r="B1614" t="str">
        <v>2020-02-19</v>
      </c>
      <c r="C1614">
        <v>80.91</v>
      </c>
      <c r="D1614" s="2"/>
    </row>
    <row r="1615" spans="2:4" x14ac:dyDescent="0.3">
      <c r="B1615" t="str">
        <v>2020-02-18</v>
      </c>
      <c r="C1615">
        <v>79.75</v>
      </c>
      <c r="D1615" s="2"/>
    </row>
    <row r="1616" spans="2:4" x14ac:dyDescent="0.3">
      <c r="B1616" t="str">
        <v>2020-02-14</v>
      </c>
      <c r="C1616">
        <v>81.239999999999995</v>
      </c>
      <c r="D1616" s="2"/>
    </row>
    <row r="1617" spans="2:4" x14ac:dyDescent="0.3">
      <c r="B1617" t="str">
        <v>2020-02-13</v>
      </c>
      <c r="C1617">
        <v>81.22</v>
      </c>
      <c r="D1617" s="2"/>
    </row>
    <row r="1618" spans="2:4" x14ac:dyDescent="0.3">
      <c r="B1618" t="str">
        <v>2020-02-12</v>
      </c>
      <c r="C1618">
        <v>81.8</v>
      </c>
      <c r="D1618" s="2"/>
    </row>
    <row r="1619" spans="2:4" x14ac:dyDescent="0.3">
      <c r="B1619" t="str">
        <v>2020-02-11</v>
      </c>
      <c r="C1619">
        <v>79.900000000000006</v>
      </c>
      <c r="D1619" s="2"/>
    </row>
    <row r="1620" spans="2:4" x14ac:dyDescent="0.3">
      <c r="B1620" t="str">
        <v>2020-02-10</v>
      </c>
      <c r="C1620">
        <v>80.39</v>
      </c>
      <c r="D1620" s="2"/>
    </row>
    <row r="1621" spans="2:4" x14ac:dyDescent="0.3">
      <c r="B1621" t="str">
        <v>2020-02-07</v>
      </c>
      <c r="C1621">
        <v>80.010000000000005</v>
      </c>
      <c r="D1621" s="2"/>
    </row>
    <row r="1622" spans="2:4" x14ac:dyDescent="0.3">
      <c r="B1622" t="str">
        <v>2020-02-06</v>
      </c>
      <c r="C1622">
        <v>81.3</v>
      </c>
      <c r="D1622" s="2"/>
    </row>
    <row r="1623" spans="2:4" x14ac:dyDescent="0.3">
      <c r="B1623" t="str">
        <v>2020-02-05</v>
      </c>
      <c r="C1623">
        <v>80.36</v>
      </c>
      <c r="D1623" s="2"/>
    </row>
    <row r="1624" spans="2:4" x14ac:dyDescent="0.3">
      <c r="B1624" t="str">
        <v>2020-02-04</v>
      </c>
      <c r="C1624">
        <v>79.709999999999994</v>
      </c>
      <c r="D1624" s="2"/>
    </row>
    <row r="1625" spans="2:4" x14ac:dyDescent="0.3">
      <c r="B1625" t="str">
        <v>2020-02-03</v>
      </c>
      <c r="C1625">
        <v>77.17</v>
      </c>
      <c r="D1625" s="2"/>
    </row>
    <row r="1626" spans="2:4" x14ac:dyDescent="0.3">
      <c r="B1626" t="str">
        <v>2020-01-31</v>
      </c>
      <c r="C1626">
        <v>77.38</v>
      </c>
      <c r="D1626" s="2"/>
    </row>
    <row r="1627" spans="2:4" x14ac:dyDescent="0.3">
      <c r="B1627" t="str">
        <v>2020-01-30</v>
      </c>
      <c r="C1627">
        <v>80.97</v>
      </c>
      <c r="D1627" s="2"/>
    </row>
    <row r="1628" spans="2:4" x14ac:dyDescent="0.3">
      <c r="B1628" t="str">
        <v>2020-01-29</v>
      </c>
      <c r="C1628">
        <v>81.08</v>
      </c>
      <c r="D1628" s="2"/>
    </row>
    <row r="1629" spans="2:4" x14ac:dyDescent="0.3">
      <c r="B1629" t="str">
        <v>2020-01-28</v>
      </c>
      <c r="C1629">
        <v>79.42</v>
      </c>
      <c r="D1629" s="2"/>
    </row>
    <row r="1630" spans="2:4" x14ac:dyDescent="0.3">
      <c r="B1630" t="str">
        <v>2020-01-27</v>
      </c>
      <c r="C1630">
        <v>77.239999999999995</v>
      </c>
      <c r="D1630" s="2"/>
    </row>
    <row r="1631" spans="2:4" x14ac:dyDescent="0.3">
      <c r="B1631" t="str">
        <v>2020-01-24</v>
      </c>
      <c r="C1631">
        <v>79.58</v>
      </c>
      <c r="D1631" s="2"/>
    </row>
    <row r="1632" spans="2:4" x14ac:dyDescent="0.3">
      <c r="B1632" t="str">
        <v>2020-01-23</v>
      </c>
      <c r="C1632">
        <v>79.81</v>
      </c>
      <c r="D1632" s="2"/>
    </row>
    <row r="1633" spans="2:4" x14ac:dyDescent="0.3">
      <c r="B1633" t="str">
        <v>2020-01-22</v>
      </c>
      <c r="C1633">
        <v>79.430000000000007</v>
      </c>
      <c r="D1633" s="2"/>
    </row>
    <row r="1634" spans="2:4" x14ac:dyDescent="0.3">
      <c r="B1634" t="str">
        <v>2020-01-21</v>
      </c>
      <c r="C1634">
        <v>79.14</v>
      </c>
      <c r="D1634" s="2"/>
    </row>
    <row r="1635" spans="2:4" x14ac:dyDescent="0.3">
      <c r="B1635" t="str">
        <v>2020-01-17</v>
      </c>
      <c r="C1635">
        <v>79.680000000000007</v>
      </c>
      <c r="D1635" s="2"/>
    </row>
    <row r="1636" spans="2:4" x14ac:dyDescent="0.3">
      <c r="B1636" t="str">
        <v>2020-01-16</v>
      </c>
      <c r="C1636">
        <v>78.81</v>
      </c>
      <c r="D1636" s="2"/>
    </row>
    <row r="1637" spans="2:4" x14ac:dyDescent="0.3">
      <c r="B1637" t="str">
        <v>2020-01-15</v>
      </c>
      <c r="C1637">
        <v>77.83</v>
      </c>
      <c r="D1637" s="2"/>
    </row>
    <row r="1638" spans="2:4" x14ac:dyDescent="0.3">
      <c r="B1638" t="str">
        <v>2020-01-14</v>
      </c>
      <c r="C1638">
        <v>78.17</v>
      </c>
      <c r="D1638" s="2"/>
    </row>
    <row r="1639" spans="2:4" x14ac:dyDescent="0.3">
      <c r="B1639" t="str">
        <v>2020-01-13</v>
      </c>
      <c r="C1639">
        <v>79.239999999999995</v>
      </c>
      <c r="D1639" s="2"/>
    </row>
    <row r="1640" spans="2:4" x14ac:dyDescent="0.3">
      <c r="B1640" t="str">
        <v>2020-01-10</v>
      </c>
      <c r="C1640">
        <v>77.58</v>
      </c>
      <c r="D1640" s="2"/>
    </row>
    <row r="1641" spans="2:4" x14ac:dyDescent="0.3">
      <c r="B1641" t="str">
        <v>2020-01-09</v>
      </c>
      <c r="C1641">
        <v>77.41</v>
      </c>
      <c r="D1641" s="2"/>
    </row>
    <row r="1642" spans="2:4" x14ac:dyDescent="0.3">
      <c r="B1642" t="str">
        <v>2020-01-08</v>
      </c>
      <c r="C1642">
        <v>75.8</v>
      </c>
      <c r="D1642" s="2"/>
    </row>
    <row r="1643" spans="2:4" x14ac:dyDescent="0.3">
      <c r="B1643" t="str">
        <v>2020-01-07</v>
      </c>
      <c r="C1643">
        <v>74.599999999999994</v>
      </c>
      <c r="D1643" s="2"/>
    </row>
    <row r="1644" spans="2:4" x14ac:dyDescent="0.3">
      <c r="B1644" t="str">
        <v>2020-01-06</v>
      </c>
      <c r="C1644">
        <v>74.95</v>
      </c>
      <c r="D1644" s="2"/>
    </row>
    <row r="1645" spans="2:4" x14ac:dyDescent="0.3">
      <c r="B1645" t="str">
        <v>2020-01-03</v>
      </c>
      <c r="C1645">
        <v>74.36</v>
      </c>
      <c r="D1645" s="2"/>
    </row>
    <row r="1646" spans="2:4" x14ac:dyDescent="0.3">
      <c r="B1646" t="str">
        <v>2020-01-02</v>
      </c>
      <c r="C1646">
        <v>75.09</v>
      </c>
      <c r="D1646" s="2"/>
    </row>
    <row r="1647" spans="2:4" x14ac:dyDescent="0.3">
      <c r="B1647" t="str">
        <v>2019-12-31</v>
      </c>
      <c r="C1647">
        <v>73.41</v>
      </c>
      <c r="D1647" s="2"/>
    </row>
    <row r="1648" spans="2:4" x14ac:dyDescent="0.3">
      <c r="B1648" t="str">
        <v>2019-12-30</v>
      </c>
      <c r="C1648">
        <v>72.88</v>
      </c>
      <c r="D1648" s="2"/>
    </row>
    <row r="1649" spans="2:4" x14ac:dyDescent="0.3">
      <c r="B1649" t="str">
        <v>2019-12-27</v>
      </c>
      <c r="C1649">
        <v>72.45</v>
      </c>
      <c r="D1649" s="2"/>
    </row>
    <row r="1650" spans="2:4" x14ac:dyDescent="0.3">
      <c r="B1650" t="str">
        <v>2019-12-26</v>
      </c>
      <c r="C1650">
        <v>72.48</v>
      </c>
      <c r="D1650" s="2"/>
    </row>
    <row r="1651" spans="2:4" x14ac:dyDescent="0.3">
      <c r="B1651" t="str">
        <v>2019-12-24</v>
      </c>
      <c r="C1651">
        <v>71.069999999999993</v>
      </c>
      <c r="D1651" s="2"/>
    </row>
    <row r="1652" spans="2:4" x14ac:dyDescent="0.3">
      <c r="B1652" t="str">
        <v>2019-12-23</v>
      </c>
      <c r="C1652">
        <v>71</v>
      </c>
      <c r="D1652" s="2"/>
    </row>
    <row r="1653" spans="2:4" x14ac:dyDescent="0.3">
      <c r="B1653" t="str">
        <v>2019-12-20</v>
      </c>
      <c r="C1653">
        <v>69.86</v>
      </c>
      <c r="D1653" s="2"/>
    </row>
    <row r="1654" spans="2:4" x14ac:dyDescent="0.3">
      <c r="B1654" t="str">
        <v>2019-12-19</v>
      </c>
      <c r="C1654">
        <v>70.010000000000005</v>
      </c>
      <c r="D1654" s="2"/>
    </row>
    <row r="1655" spans="2:4" x14ac:dyDescent="0.3">
      <c r="B1655" t="str">
        <v>2019-12-18</v>
      </c>
      <c r="C1655">
        <v>69.94</v>
      </c>
      <c r="D1655" s="2"/>
    </row>
    <row r="1656" spans="2:4" x14ac:dyDescent="0.3">
      <c r="B1656" t="str">
        <v>2019-12-17</v>
      </c>
      <c r="C1656">
        <v>70.099999999999994</v>
      </c>
      <c r="D1656" s="2"/>
    </row>
    <row r="1657" spans="2:4" x14ac:dyDescent="0.3">
      <c r="B1657" t="str">
        <v>2019-12-16</v>
      </c>
      <c r="C1657">
        <v>69.97</v>
      </c>
      <c r="D1657" s="2"/>
    </row>
    <row r="1658" spans="2:4" x14ac:dyDescent="0.3">
      <c r="B1658" t="str">
        <v>2019-12-13</v>
      </c>
      <c r="C1658">
        <v>68.790000000000006</v>
      </c>
      <c r="D1658" s="2"/>
    </row>
    <row r="1659" spans="2:4" x14ac:dyDescent="0.3">
      <c r="B1659" t="str">
        <v>2019-12-12</v>
      </c>
      <c r="C1659">
        <v>67.86</v>
      </c>
      <c r="D1659" s="2"/>
    </row>
    <row r="1660" spans="2:4" x14ac:dyDescent="0.3">
      <c r="B1660" t="str">
        <v>2019-12-11</v>
      </c>
      <c r="C1660">
        <v>67.69</v>
      </c>
      <c r="D1660" s="2"/>
    </row>
    <row r="1661" spans="2:4" x14ac:dyDescent="0.3">
      <c r="B1661" t="str">
        <v>2019-12-10</v>
      </c>
      <c r="C1661">
        <v>67.12</v>
      </c>
      <c r="D1661" s="2"/>
    </row>
    <row r="1662" spans="2:4" x14ac:dyDescent="0.3">
      <c r="B1662" t="str">
        <v>2019-12-09</v>
      </c>
      <c r="C1662">
        <v>66.73</v>
      </c>
      <c r="D1662" s="2"/>
    </row>
    <row r="1663" spans="2:4" x14ac:dyDescent="0.3">
      <c r="B1663" t="str">
        <v>2019-12-06</v>
      </c>
      <c r="C1663">
        <v>67.680000000000007</v>
      </c>
      <c r="D1663" s="2"/>
    </row>
    <row r="1664" spans="2:4" x14ac:dyDescent="0.3">
      <c r="B1664" t="str">
        <v>2019-12-05</v>
      </c>
      <c r="C1664">
        <v>66.400000000000006</v>
      </c>
      <c r="D1664" s="2"/>
    </row>
    <row r="1665" spans="2:4" x14ac:dyDescent="0.3">
      <c r="B1665" t="str">
        <v>2019-12-04</v>
      </c>
      <c r="C1665">
        <v>65.44</v>
      </c>
      <c r="D1665" s="2"/>
    </row>
    <row r="1666" spans="2:4" x14ac:dyDescent="0.3">
      <c r="B1666" t="str">
        <v>2019-12-03</v>
      </c>
      <c r="C1666">
        <v>64.86</v>
      </c>
      <c r="D1666" s="2"/>
    </row>
    <row r="1667" spans="2:4" x14ac:dyDescent="0.3">
      <c r="B1667" t="str">
        <v>2019-12-02</v>
      </c>
      <c r="C1667">
        <v>66.040000000000006</v>
      </c>
      <c r="D1667" s="2"/>
    </row>
    <row r="1668" spans="2:4" x14ac:dyDescent="0.3">
      <c r="B1668" t="str">
        <v>2019-11-29</v>
      </c>
      <c r="C1668">
        <v>66.81</v>
      </c>
      <c r="D1668" s="2"/>
    </row>
    <row r="1669" spans="2:4" x14ac:dyDescent="0.3">
      <c r="B1669" t="str">
        <v>2019-11-27</v>
      </c>
      <c r="C1669">
        <v>66.959999999999994</v>
      </c>
      <c r="D1669" s="2"/>
    </row>
    <row r="1670" spans="2:4" x14ac:dyDescent="0.3">
      <c r="B1670" t="str">
        <v>2019-11-26</v>
      </c>
      <c r="C1670">
        <v>66.069999999999993</v>
      </c>
      <c r="D1670" s="2"/>
    </row>
    <row r="1671" spans="2:4" x14ac:dyDescent="0.3">
      <c r="B1671" t="str">
        <v>2019-11-25</v>
      </c>
      <c r="C1671">
        <v>66.59</v>
      </c>
      <c r="D1671" s="2"/>
    </row>
    <row r="1672" spans="2:4" x14ac:dyDescent="0.3">
      <c r="B1672" t="str">
        <v>2019-11-22</v>
      </c>
      <c r="C1672">
        <v>65.44</v>
      </c>
      <c r="D1672" s="2"/>
    </row>
    <row r="1673" spans="2:4" x14ac:dyDescent="0.3">
      <c r="B1673" t="str">
        <v>2019-11-21</v>
      </c>
      <c r="C1673">
        <v>65.5</v>
      </c>
      <c r="D1673" s="2"/>
    </row>
    <row r="1674" spans="2:4" x14ac:dyDescent="0.3">
      <c r="B1674" t="str">
        <v>2019-11-20</v>
      </c>
      <c r="C1674">
        <v>65.8</v>
      </c>
      <c r="D1674" s="2"/>
    </row>
    <row r="1675" spans="2:4" x14ac:dyDescent="0.3">
      <c r="B1675" t="str">
        <v>2019-11-19</v>
      </c>
      <c r="C1675">
        <v>66.569999999999993</v>
      </c>
      <c r="D1675" s="2"/>
    </row>
    <row r="1676" spans="2:4" x14ac:dyDescent="0.3">
      <c r="B1676" t="str">
        <v>2019-11-18</v>
      </c>
      <c r="C1676">
        <v>66.78</v>
      </c>
      <c r="D1676" s="2"/>
    </row>
    <row r="1677" spans="2:4" x14ac:dyDescent="0.3">
      <c r="B1677" t="str">
        <v>2019-11-15</v>
      </c>
      <c r="C1677">
        <v>66.44</v>
      </c>
      <c r="D1677" s="2"/>
    </row>
    <row r="1678" spans="2:4" x14ac:dyDescent="0.3">
      <c r="B1678" t="str">
        <v>2019-11-14</v>
      </c>
      <c r="C1678">
        <v>65.66</v>
      </c>
      <c r="D1678" s="2"/>
    </row>
    <row r="1679" spans="2:4" x14ac:dyDescent="0.3">
      <c r="B1679" t="str">
        <v>2019-11-13</v>
      </c>
      <c r="C1679">
        <v>66.12</v>
      </c>
      <c r="D1679" s="2"/>
    </row>
    <row r="1680" spans="2:4" x14ac:dyDescent="0.3">
      <c r="B1680" t="str">
        <v>2019-11-12</v>
      </c>
      <c r="C1680">
        <v>65.489999999999995</v>
      </c>
      <c r="D1680" s="2"/>
    </row>
    <row r="1681" spans="2:4" x14ac:dyDescent="0.3">
      <c r="B1681" t="str">
        <v>2019-11-11</v>
      </c>
      <c r="C1681">
        <v>65.55</v>
      </c>
      <c r="D1681" s="2"/>
    </row>
    <row r="1682" spans="2:4" x14ac:dyDescent="0.3">
      <c r="B1682" t="str">
        <v>2019-11-08</v>
      </c>
      <c r="C1682">
        <v>65.040000000000006</v>
      </c>
      <c r="D1682" s="2"/>
    </row>
    <row r="1683" spans="2:4" x14ac:dyDescent="0.3">
      <c r="B1683" t="str">
        <v>2019-11-07</v>
      </c>
      <c r="C1683">
        <v>64.86</v>
      </c>
      <c r="D1683" s="2"/>
    </row>
    <row r="1684" spans="2:4" x14ac:dyDescent="0.3">
      <c r="B1684" t="str">
        <v>2019-11-06</v>
      </c>
      <c r="C1684">
        <v>64.31</v>
      </c>
      <c r="D1684" s="2"/>
    </row>
    <row r="1685" spans="2:4" x14ac:dyDescent="0.3">
      <c r="B1685" t="str">
        <v>2019-11-05</v>
      </c>
      <c r="C1685">
        <v>64.28</v>
      </c>
      <c r="D1685" s="2"/>
    </row>
    <row r="1686" spans="2:4" x14ac:dyDescent="0.3">
      <c r="B1686" t="str">
        <v>2019-11-04</v>
      </c>
      <c r="C1686">
        <v>64.38</v>
      </c>
      <c r="D1686" s="2"/>
    </row>
    <row r="1687" spans="2:4" x14ac:dyDescent="0.3">
      <c r="B1687" t="str">
        <v>2019-11-01</v>
      </c>
      <c r="C1687">
        <v>63.96</v>
      </c>
      <c r="D1687" s="2"/>
    </row>
    <row r="1688" spans="2:4" x14ac:dyDescent="0.3">
      <c r="B1688" t="str">
        <v>2019-10-31</v>
      </c>
      <c r="C1688">
        <v>62.19</v>
      </c>
      <c r="D1688" s="2"/>
    </row>
    <row r="1689" spans="2:4" x14ac:dyDescent="0.3">
      <c r="B1689" t="str">
        <v>2019-10-30</v>
      </c>
      <c r="C1689">
        <v>60.82</v>
      </c>
      <c r="D1689" s="2"/>
    </row>
    <row r="1690" spans="2:4" x14ac:dyDescent="0.3">
      <c r="B1690" t="str">
        <v>2019-10-29</v>
      </c>
      <c r="C1690">
        <v>60.82</v>
      </c>
      <c r="D1690" s="2"/>
    </row>
    <row r="1691" spans="2:4" x14ac:dyDescent="0.3">
      <c r="B1691" t="str">
        <v>2019-10-28</v>
      </c>
      <c r="C1691">
        <v>62.26</v>
      </c>
      <c r="D1691" s="2"/>
    </row>
    <row r="1692" spans="2:4" x14ac:dyDescent="0.3">
      <c r="B1692" t="str">
        <v>2019-10-25</v>
      </c>
      <c r="C1692">
        <v>61.65</v>
      </c>
      <c r="D1692" s="2"/>
    </row>
    <row r="1693" spans="2:4" x14ac:dyDescent="0.3">
      <c r="B1693" t="str">
        <v>2019-10-24</v>
      </c>
      <c r="C1693">
        <v>60.9</v>
      </c>
      <c r="D1693" s="2"/>
    </row>
    <row r="1694" spans="2:4" x14ac:dyDescent="0.3">
      <c r="B1694" t="str">
        <v>2019-10-23</v>
      </c>
      <c r="C1694">
        <v>60.8</v>
      </c>
      <c r="D1694" s="2"/>
    </row>
    <row r="1695" spans="2:4" x14ac:dyDescent="0.3">
      <c r="B1695" t="str">
        <v>2019-10-22</v>
      </c>
      <c r="C1695">
        <v>59.99</v>
      </c>
      <c r="D1695" s="2"/>
    </row>
    <row r="1696" spans="2:4" x14ac:dyDescent="0.3">
      <c r="B1696" t="str">
        <v>2019-10-21</v>
      </c>
      <c r="C1696">
        <v>60.13</v>
      </c>
      <c r="D1696" s="2"/>
    </row>
    <row r="1697" spans="2:4" x14ac:dyDescent="0.3">
      <c r="B1697" t="str">
        <v>2019-10-18</v>
      </c>
      <c r="C1697">
        <v>59.1</v>
      </c>
      <c r="D1697" s="2"/>
    </row>
    <row r="1698" spans="2:4" x14ac:dyDescent="0.3">
      <c r="B1698" t="str">
        <v>2019-10-17</v>
      </c>
      <c r="C1698">
        <v>58.82</v>
      </c>
      <c r="D1698" s="2"/>
    </row>
    <row r="1699" spans="2:4" x14ac:dyDescent="0.3">
      <c r="B1699" t="str">
        <v>2019-10-16</v>
      </c>
      <c r="C1699">
        <v>58.59</v>
      </c>
      <c r="D1699" s="2"/>
    </row>
    <row r="1700" spans="2:4" x14ac:dyDescent="0.3">
      <c r="B1700" t="str">
        <v>2019-10-15</v>
      </c>
      <c r="C1700">
        <v>58.83</v>
      </c>
      <c r="D1700" s="2"/>
    </row>
    <row r="1701" spans="2:4" x14ac:dyDescent="0.3">
      <c r="B1701" t="str">
        <v>2019-10-14</v>
      </c>
      <c r="C1701">
        <v>58.97</v>
      </c>
      <c r="D1701" s="2"/>
    </row>
    <row r="1702" spans="2:4" x14ac:dyDescent="0.3">
      <c r="B1702" t="str">
        <v>2019-10-11</v>
      </c>
      <c r="C1702">
        <v>59.05</v>
      </c>
      <c r="D1702" s="2"/>
    </row>
    <row r="1703" spans="2:4" x14ac:dyDescent="0.3">
      <c r="B1703" t="str">
        <v>2019-10-10</v>
      </c>
      <c r="C1703">
        <v>57.52</v>
      </c>
      <c r="D1703" s="2"/>
    </row>
    <row r="1704" spans="2:4" x14ac:dyDescent="0.3">
      <c r="B1704" t="str">
        <v>2019-10-09</v>
      </c>
      <c r="C1704">
        <v>56.76</v>
      </c>
      <c r="D1704" s="2"/>
    </row>
    <row r="1705" spans="2:4" x14ac:dyDescent="0.3">
      <c r="B1705" t="str">
        <v>2019-10-08</v>
      </c>
      <c r="C1705">
        <v>56.1</v>
      </c>
      <c r="D1705" s="2"/>
    </row>
    <row r="1706" spans="2:4" x14ac:dyDescent="0.3">
      <c r="B1706" t="str">
        <v>2019-10-07</v>
      </c>
      <c r="C1706">
        <v>56.77</v>
      </c>
      <c r="D1706" s="2"/>
    </row>
    <row r="1707" spans="2:4" x14ac:dyDescent="0.3">
      <c r="B1707" t="str">
        <v>2019-10-04</v>
      </c>
      <c r="C1707">
        <v>56.75</v>
      </c>
      <c r="D1707" s="2"/>
    </row>
    <row r="1708" spans="2:4" x14ac:dyDescent="0.3">
      <c r="B1708" t="str">
        <v>2019-10-03</v>
      </c>
      <c r="C1708">
        <v>55.21</v>
      </c>
      <c r="D1708" s="2"/>
    </row>
    <row r="1709" spans="2:4" x14ac:dyDescent="0.3">
      <c r="B1709" t="str">
        <v>2019-10-02</v>
      </c>
      <c r="C1709">
        <v>54.74</v>
      </c>
      <c r="D1709" s="2"/>
    </row>
    <row r="1710" spans="2:4" x14ac:dyDescent="0.3">
      <c r="B1710" t="str">
        <v>2019-10-01</v>
      </c>
      <c r="C1710">
        <v>56.15</v>
      </c>
      <c r="D1710" s="2"/>
    </row>
    <row r="1711" spans="2:4" x14ac:dyDescent="0.3">
      <c r="B1711" t="str">
        <v>2019-09-30</v>
      </c>
      <c r="C1711">
        <v>55.99</v>
      </c>
      <c r="D1711" s="2"/>
    </row>
    <row r="1712" spans="2:4" x14ac:dyDescent="0.3">
      <c r="B1712" t="str">
        <v>2019-09-27</v>
      </c>
      <c r="C1712">
        <v>54.71</v>
      </c>
      <c r="D1712" s="2"/>
    </row>
    <row r="1713" spans="2:4" x14ac:dyDescent="0.3">
      <c r="B1713" t="str">
        <v>2019-09-26</v>
      </c>
      <c r="C1713">
        <v>54.97</v>
      </c>
      <c r="D1713" s="2"/>
    </row>
    <row r="1714" spans="2:4" x14ac:dyDescent="0.3">
      <c r="B1714" t="str">
        <v>2019-09-25</v>
      </c>
      <c r="C1714">
        <v>55.26</v>
      </c>
      <c r="D1714" s="2"/>
    </row>
    <row r="1715" spans="2:4" x14ac:dyDescent="0.3">
      <c r="B1715" t="str">
        <v>2019-09-24</v>
      </c>
      <c r="C1715">
        <v>54.42</v>
      </c>
      <c r="D1715" s="2"/>
    </row>
    <row r="1716" spans="2:4" x14ac:dyDescent="0.3">
      <c r="B1716" t="str">
        <v>2019-09-23</v>
      </c>
      <c r="C1716">
        <v>54.68</v>
      </c>
      <c r="D1716" s="2"/>
    </row>
    <row r="1717" spans="2:4" x14ac:dyDescent="0.3">
      <c r="B1717" t="str">
        <v>2019-09-20</v>
      </c>
      <c r="C1717">
        <v>54.43</v>
      </c>
      <c r="D1717" s="2"/>
    </row>
    <row r="1718" spans="2:4" x14ac:dyDescent="0.3">
      <c r="B1718" t="str">
        <v>2019-09-19</v>
      </c>
      <c r="C1718">
        <v>55.24</v>
      </c>
      <c r="D1718" s="2"/>
    </row>
    <row r="1719" spans="2:4" x14ac:dyDescent="0.3">
      <c r="B1719" t="str">
        <v>2019-09-18</v>
      </c>
      <c r="C1719">
        <v>55.69</v>
      </c>
      <c r="D1719" s="2"/>
    </row>
    <row r="1720" spans="2:4" x14ac:dyDescent="0.3">
      <c r="B1720" t="str">
        <v>2019-09-17</v>
      </c>
      <c r="C1720">
        <v>55.18</v>
      </c>
      <c r="D1720" s="2"/>
    </row>
    <row r="1721" spans="2:4" x14ac:dyDescent="0.3">
      <c r="B1721" t="str">
        <v>2019-09-16</v>
      </c>
      <c r="C1721">
        <v>54.98</v>
      </c>
      <c r="D1721" s="2"/>
    </row>
    <row r="1722" spans="2:4" x14ac:dyDescent="0.3">
      <c r="B1722" t="str">
        <v>2019-09-13</v>
      </c>
      <c r="C1722">
        <v>54.69</v>
      </c>
      <c r="D1722" s="2"/>
    </row>
    <row r="1723" spans="2:4" x14ac:dyDescent="0.3">
      <c r="B1723" t="str">
        <v>2019-09-12</v>
      </c>
      <c r="C1723">
        <v>55.77</v>
      </c>
      <c r="D1723" s="2"/>
    </row>
    <row r="1724" spans="2:4" x14ac:dyDescent="0.3">
      <c r="B1724" t="str">
        <v>2019-09-11</v>
      </c>
      <c r="C1724">
        <v>55.9</v>
      </c>
      <c r="D1724" s="2"/>
    </row>
    <row r="1725" spans="2:4" x14ac:dyDescent="0.3">
      <c r="B1725" t="str">
        <v>2019-09-10</v>
      </c>
      <c r="C1725">
        <v>54.18</v>
      </c>
      <c r="D1725" s="2"/>
    </row>
    <row r="1726" spans="2:4" x14ac:dyDescent="0.3">
      <c r="B1726" t="str">
        <v>2019-09-09</v>
      </c>
      <c r="C1726">
        <v>53.54</v>
      </c>
      <c r="D1726" s="2"/>
    </row>
    <row r="1727" spans="2:4" x14ac:dyDescent="0.3">
      <c r="B1727" t="str">
        <v>2019-09-06</v>
      </c>
      <c r="C1727">
        <v>53.32</v>
      </c>
      <c r="D1727" s="2"/>
    </row>
    <row r="1728" spans="2:4" x14ac:dyDescent="0.3">
      <c r="B1728" t="str">
        <v>2019-09-05</v>
      </c>
      <c r="C1728">
        <v>53.32</v>
      </c>
      <c r="D1728" s="2"/>
    </row>
    <row r="1729" spans="2:4" x14ac:dyDescent="0.3">
      <c r="B1729" t="str">
        <v>2019-09-04</v>
      </c>
      <c r="C1729">
        <v>52.3</v>
      </c>
      <c r="D1729" s="2"/>
    </row>
    <row r="1730" spans="2:4" x14ac:dyDescent="0.3">
      <c r="B1730" t="str">
        <v>2019-09-03</v>
      </c>
      <c r="C1730">
        <v>51.43</v>
      </c>
      <c r="D1730" s="2"/>
    </row>
    <row r="1731" spans="2:4" x14ac:dyDescent="0.3">
      <c r="B1731" t="str">
        <v>2019-08-30</v>
      </c>
      <c r="C1731">
        <v>52.19</v>
      </c>
      <c r="D1731" s="2"/>
    </row>
    <row r="1732" spans="2:4" x14ac:dyDescent="0.3">
      <c r="B1732" t="str">
        <v>2019-08-29</v>
      </c>
      <c r="C1732">
        <v>52.25</v>
      </c>
      <c r="D1732" s="2"/>
    </row>
    <row r="1733" spans="2:4" x14ac:dyDescent="0.3">
      <c r="B1733" t="str">
        <v>2019-08-28</v>
      </c>
      <c r="C1733">
        <v>51.38</v>
      </c>
      <c r="D1733" s="2"/>
    </row>
    <row r="1734" spans="2:4" x14ac:dyDescent="0.3">
      <c r="B1734" t="str">
        <v>2019-08-27</v>
      </c>
      <c r="C1734">
        <v>51.04</v>
      </c>
      <c r="D1734" s="2"/>
    </row>
    <row r="1735" spans="2:4" x14ac:dyDescent="0.3">
      <c r="B1735" t="str">
        <v>2019-08-26</v>
      </c>
      <c r="C1735">
        <v>51.62</v>
      </c>
      <c r="D1735" s="2"/>
    </row>
    <row r="1736" spans="2:4" x14ac:dyDescent="0.3">
      <c r="B1736" t="str">
        <v>2019-08-23</v>
      </c>
      <c r="C1736">
        <v>50.66</v>
      </c>
      <c r="D1736" s="2"/>
    </row>
    <row r="1737" spans="2:4" x14ac:dyDescent="0.3">
      <c r="B1737" t="str">
        <v>2019-08-22</v>
      </c>
      <c r="C1737">
        <v>53.12</v>
      </c>
      <c r="D1737" s="2"/>
    </row>
    <row r="1738" spans="2:4" x14ac:dyDescent="0.3">
      <c r="B1738" t="str">
        <v>2019-08-21</v>
      </c>
      <c r="C1738">
        <v>53.16</v>
      </c>
      <c r="D1738" s="2"/>
    </row>
    <row r="1739" spans="2:4" x14ac:dyDescent="0.3">
      <c r="B1739" t="str">
        <v>2019-08-20</v>
      </c>
      <c r="C1739">
        <v>52.59</v>
      </c>
      <c r="D1739" s="2"/>
    </row>
    <row r="1740" spans="2:4" x14ac:dyDescent="0.3">
      <c r="B1740" t="str">
        <v>2019-08-19</v>
      </c>
      <c r="C1740">
        <v>52.59</v>
      </c>
      <c r="D1740" s="2"/>
    </row>
    <row r="1741" spans="2:4" x14ac:dyDescent="0.3">
      <c r="B1741" t="str">
        <v>2019-08-16</v>
      </c>
      <c r="C1741">
        <v>51.63</v>
      </c>
      <c r="D1741" s="2"/>
    </row>
    <row r="1742" spans="2:4" x14ac:dyDescent="0.3">
      <c r="B1742" t="str">
        <v>2019-08-15</v>
      </c>
      <c r="C1742">
        <v>50.44</v>
      </c>
      <c r="D1742" s="2"/>
    </row>
    <row r="1743" spans="2:4" x14ac:dyDescent="0.3">
      <c r="B1743" t="str">
        <v>2019-08-14</v>
      </c>
      <c r="C1743">
        <v>50.69</v>
      </c>
      <c r="D1743" s="2"/>
    </row>
    <row r="1744" spans="2:4" x14ac:dyDescent="0.3">
      <c r="B1744" t="str">
        <v>2019-08-13</v>
      </c>
      <c r="C1744">
        <v>52.24</v>
      </c>
      <c r="D1744" s="2"/>
    </row>
    <row r="1745" spans="2:4" x14ac:dyDescent="0.3">
      <c r="B1745" t="str">
        <v>2019-08-12</v>
      </c>
      <c r="C1745">
        <v>50.12</v>
      </c>
      <c r="D1745" s="2"/>
    </row>
    <row r="1746" spans="2:4" x14ac:dyDescent="0.3">
      <c r="B1746" t="str">
        <v>2019-08-09</v>
      </c>
      <c r="C1746">
        <v>50.25</v>
      </c>
      <c r="D1746" s="2"/>
    </row>
    <row r="1747" spans="2:4" x14ac:dyDescent="0.3">
      <c r="B1747" t="str">
        <v>2019-08-08</v>
      </c>
      <c r="C1747">
        <v>50.86</v>
      </c>
      <c r="D1747" s="2"/>
    </row>
    <row r="1748" spans="2:4" x14ac:dyDescent="0.3">
      <c r="B1748" t="str">
        <v>2019-08-07</v>
      </c>
      <c r="C1748">
        <v>49.76</v>
      </c>
      <c r="D1748" s="2"/>
    </row>
    <row r="1749" spans="2:4" x14ac:dyDescent="0.3">
      <c r="B1749" t="str">
        <v>2019-08-06</v>
      </c>
      <c r="C1749">
        <v>49.25</v>
      </c>
      <c r="D1749" s="2"/>
    </row>
    <row r="1750" spans="2:4" x14ac:dyDescent="0.3">
      <c r="B1750" t="str">
        <v>2019-08-05</v>
      </c>
      <c r="C1750">
        <v>48.34</v>
      </c>
      <c r="D1750" s="2"/>
    </row>
    <row r="1751" spans="2:4" x14ac:dyDescent="0.3">
      <c r="B1751" t="str">
        <v>2019-08-02</v>
      </c>
      <c r="C1751">
        <v>51.01</v>
      </c>
      <c r="D1751" s="2"/>
    </row>
    <row r="1752" spans="2:4" x14ac:dyDescent="0.3">
      <c r="B1752" t="str">
        <v>2019-08-01</v>
      </c>
      <c r="C1752">
        <v>52.11</v>
      </c>
      <c r="D1752" s="2"/>
    </row>
    <row r="1753" spans="2:4" x14ac:dyDescent="0.3">
      <c r="B1753" t="str">
        <v>2019-07-31</v>
      </c>
      <c r="C1753">
        <v>53.26</v>
      </c>
      <c r="D1753" s="2"/>
    </row>
    <row r="1754" spans="2:4" x14ac:dyDescent="0.3">
      <c r="B1754" t="str">
        <v>2019-07-30</v>
      </c>
      <c r="C1754">
        <v>52.2</v>
      </c>
      <c r="D1754" s="2"/>
    </row>
    <row r="1755" spans="2:4" x14ac:dyDescent="0.3">
      <c r="B1755" t="str">
        <v>2019-07-29</v>
      </c>
      <c r="C1755">
        <v>52.42</v>
      </c>
      <c r="D1755" s="2"/>
    </row>
    <row r="1756" spans="2:4" x14ac:dyDescent="0.3">
      <c r="B1756" t="str">
        <v>2019-07-26</v>
      </c>
      <c r="C1756">
        <v>51.94</v>
      </c>
      <c r="D1756" s="2"/>
    </row>
    <row r="1757" spans="2:4" x14ac:dyDescent="0.3">
      <c r="B1757" t="str">
        <v>2019-07-25</v>
      </c>
      <c r="C1757">
        <v>51.76</v>
      </c>
      <c r="D1757" s="2"/>
    </row>
    <row r="1758" spans="2:4" x14ac:dyDescent="0.3">
      <c r="B1758" t="str">
        <v>2019-07-24</v>
      </c>
      <c r="C1758">
        <v>52.17</v>
      </c>
      <c r="D1758" s="2"/>
    </row>
    <row r="1759" spans="2:4" x14ac:dyDescent="0.3">
      <c r="B1759" t="str">
        <v>2019-07-23</v>
      </c>
      <c r="C1759">
        <v>52.21</v>
      </c>
      <c r="D1759" s="2"/>
    </row>
    <row r="1760" spans="2:4" x14ac:dyDescent="0.3">
      <c r="B1760" t="str">
        <v>2019-07-22</v>
      </c>
      <c r="C1760">
        <v>51.81</v>
      </c>
      <c r="D1760" s="2"/>
    </row>
    <row r="1761" spans="2:4" x14ac:dyDescent="0.3">
      <c r="B1761" t="str">
        <v>2019-07-19</v>
      </c>
      <c r="C1761">
        <v>50.65</v>
      </c>
      <c r="D1761" s="2"/>
    </row>
    <row r="1762" spans="2:4" x14ac:dyDescent="0.3">
      <c r="D1762" s="2"/>
    </row>
    <row r="1763" spans="2:4" x14ac:dyDescent="0.3">
      <c r="D1763" s="2"/>
    </row>
    <row r="1764" spans="2:4" x14ac:dyDescent="0.3">
      <c r="D1764" s="2"/>
    </row>
    <row r="1765" spans="2:4" x14ac:dyDescent="0.3">
      <c r="D1765" s="2"/>
    </row>
    <row r="1766" spans="2:4" x14ac:dyDescent="0.3">
      <c r="D1766" s="2"/>
    </row>
    <row r="1767" spans="2:4" x14ac:dyDescent="0.3">
      <c r="D1767" s="2"/>
    </row>
    <row r="1768" spans="2:4" x14ac:dyDescent="0.3">
      <c r="D1768" s="2"/>
    </row>
    <row r="1769" spans="2:4" x14ac:dyDescent="0.3">
      <c r="D1769" s="2"/>
    </row>
    <row r="1770" spans="2:4" x14ac:dyDescent="0.3">
      <c r="D1770" s="2"/>
    </row>
    <row r="1771" spans="2:4" x14ac:dyDescent="0.3">
      <c r="D1771" s="2"/>
    </row>
    <row r="1772" spans="2:4" x14ac:dyDescent="0.3">
      <c r="D1772" s="2"/>
    </row>
    <row r="1773" spans="2:4" x14ac:dyDescent="0.3">
      <c r="D1773" s="2"/>
    </row>
    <row r="1774" spans="2:4" x14ac:dyDescent="0.3">
      <c r="D1774" s="2"/>
    </row>
    <row r="1775" spans="2:4" x14ac:dyDescent="0.3">
      <c r="D1775" s="2"/>
    </row>
    <row r="1776" spans="2:4" x14ac:dyDescent="0.3">
      <c r="D1776" s="2"/>
    </row>
    <row r="1777" spans="4:4" x14ac:dyDescent="0.3">
      <c r="D1777" s="2"/>
    </row>
    <row r="1778" spans="4:4" x14ac:dyDescent="0.3">
      <c r="D1778" s="2"/>
    </row>
    <row r="1779" spans="4:4" x14ac:dyDescent="0.3">
      <c r="D1779" s="2"/>
    </row>
    <row r="1780" spans="4:4" x14ac:dyDescent="0.3">
      <c r="D1780" s="2"/>
    </row>
    <row r="1781" spans="4:4" x14ac:dyDescent="0.3">
      <c r="D1781" s="2"/>
    </row>
    <row r="1782" spans="4:4" x14ac:dyDescent="0.3">
      <c r="D1782" s="2"/>
    </row>
    <row r="1783" spans="4:4" x14ac:dyDescent="0.3">
      <c r="D1783" s="2"/>
    </row>
    <row r="1784" spans="4:4" x14ac:dyDescent="0.3">
      <c r="D1784" s="2"/>
    </row>
    <row r="1785" spans="4:4" x14ac:dyDescent="0.3">
      <c r="D1785" s="2"/>
    </row>
    <row r="1786" spans="4:4" x14ac:dyDescent="0.3">
      <c r="D1786" s="2"/>
    </row>
    <row r="1787" spans="4:4" x14ac:dyDescent="0.3">
      <c r="D1787" s="2"/>
    </row>
    <row r="1788" spans="4:4" x14ac:dyDescent="0.3">
      <c r="D1788" s="2"/>
    </row>
    <row r="1789" spans="4:4" x14ac:dyDescent="0.3">
      <c r="D1789" s="2"/>
    </row>
    <row r="1790" spans="4:4" x14ac:dyDescent="0.3">
      <c r="D1790" s="2"/>
    </row>
    <row r="1791" spans="4:4" x14ac:dyDescent="0.3">
      <c r="D1791" s="2"/>
    </row>
    <row r="1792" spans="4:4" x14ac:dyDescent="0.3">
      <c r="D1792" s="2"/>
    </row>
    <row r="1793" spans="4:4" x14ac:dyDescent="0.3">
      <c r="D1793" s="2"/>
    </row>
    <row r="1794" spans="4:4" x14ac:dyDescent="0.3">
      <c r="D1794" s="2"/>
    </row>
    <row r="1795" spans="4:4" x14ac:dyDescent="0.3">
      <c r="D1795" s="2"/>
    </row>
    <row r="1796" spans="4:4" x14ac:dyDescent="0.3">
      <c r="D1796" s="2"/>
    </row>
    <row r="1797" spans="4:4" x14ac:dyDescent="0.3">
      <c r="D1797" s="2"/>
    </row>
    <row r="1798" spans="4:4" x14ac:dyDescent="0.3">
      <c r="D1798" s="2"/>
    </row>
    <row r="1799" spans="4:4" x14ac:dyDescent="0.3">
      <c r="D1799" s="2"/>
    </row>
    <row r="1800" spans="4:4" x14ac:dyDescent="0.3">
      <c r="D1800" s="2"/>
    </row>
    <row r="1801" spans="4:4" x14ac:dyDescent="0.3">
      <c r="D1801" s="2"/>
    </row>
    <row r="1802" spans="4:4" x14ac:dyDescent="0.3">
      <c r="D1802" s="2"/>
    </row>
    <row r="1803" spans="4:4" x14ac:dyDescent="0.3">
      <c r="D1803" s="2"/>
    </row>
    <row r="1804" spans="4:4" x14ac:dyDescent="0.3">
      <c r="D1804" s="2"/>
    </row>
    <row r="1805" spans="4:4" x14ac:dyDescent="0.3">
      <c r="D1805" s="2"/>
    </row>
    <row r="1806" spans="4:4" x14ac:dyDescent="0.3">
      <c r="D1806" s="2"/>
    </row>
    <row r="1807" spans="4:4" x14ac:dyDescent="0.3">
      <c r="D1807" s="2"/>
    </row>
    <row r="1808" spans="4:4" x14ac:dyDescent="0.3">
      <c r="D1808" s="2"/>
    </row>
    <row r="1809" spans="4:4" x14ac:dyDescent="0.3">
      <c r="D1809" s="2"/>
    </row>
    <row r="1810" spans="4:4" x14ac:dyDescent="0.3">
      <c r="D1810" s="2"/>
    </row>
    <row r="1811" spans="4:4" x14ac:dyDescent="0.3">
      <c r="D1811" s="2"/>
    </row>
    <row r="1812" spans="4:4" x14ac:dyDescent="0.3">
      <c r="D1812" s="2"/>
    </row>
    <row r="1813" spans="4:4" x14ac:dyDescent="0.3">
      <c r="D1813" s="2"/>
    </row>
    <row r="1814" spans="4:4" x14ac:dyDescent="0.3">
      <c r="D1814" s="2"/>
    </row>
    <row r="1815" spans="4:4" x14ac:dyDescent="0.3">
      <c r="D1815" s="2"/>
    </row>
    <row r="1816" spans="4:4" x14ac:dyDescent="0.3">
      <c r="D1816" s="2"/>
    </row>
    <row r="1817" spans="4:4" x14ac:dyDescent="0.3">
      <c r="D1817" s="2"/>
    </row>
    <row r="1818" spans="4:4" x14ac:dyDescent="0.3">
      <c r="D1818" s="2"/>
    </row>
    <row r="1819" spans="4:4" x14ac:dyDescent="0.3">
      <c r="D1819" s="2"/>
    </row>
    <row r="1820" spans="4:4" x14ac:dyDescent="0.3">
      <c r="D1820" s="2"/>
    </row>
    <row r="1821" spans="4:4" x14ac:dyDescent="0.3">
      <c r="D1821" s="2"/>
    </row>
    <row r="1822" spans="4:4" x14ac:dyDescent="0.3">
      <c r="D1822" s="2"/>
    </row>
    <row r="1823" spans="4:4" x14ac:dyDescent="0.3">
      <c r="D1823" s="2"/>
    </row>
    <row r="1824" spans="4:4" x14ac:dyDescent="0.3">
      <c r="D1824" s="2"/>
    </row>
    <row r="1825" spans="4:4" x14ac:dyDescent="0.3">
      <c r="D1825" s="2"/>
    </row>
    <row r="1826" spans="4:4" x14ac:dyDescent="0.3">
      <c r="D1826" s="2"/>
    </row>
    <row r="1827" spans="4:4" x14ac:dyDescent="0.3">
      <c r="D1827" s="2"/>
    </row>
    <row r="1828" spans="4:4" x14ac:dyDescent="0.3">
      <c r="D1828" s="2"/>
    </row>
    <row r="1829" spans="4:4" x14ac:dyDescent="0.3">
      <c r="D1829" s="2"/>
    </row>
    <row r="1830" spans="4:4" x14ac:dyDescent="0.3">
      <c r="D1830" s="2"/>
    </row>
    <row r="1831" spans="4:4" x14ac:dyDescent="0.3">
      <c r="D1831" s="2"/>
    </row>
    <row r="1832" spans="4:4" x14ac:dyDescent="0.3">
      <c r="D1832" s="2"/>
    </row>
    <row r="1833" spans="4:4" x14ac:dyDescent="0.3">
      <c r="D1833" s="2"/>
    </row>
    <row r="1834" spans="4:4" x14ac:dyDescent="0.3">
      <c r="D1834" s="2"/>
    </row>
    <row r="1835" spans="4:4" x14ac:dyDescent="0.3">
      <c r="D1835" s="2"/>
    </row>
    <row r="1836" spans="4:4" x14ac:dyDescent="0.3">
      <c r="D1836" s="2"/>
    </row>
    <row r="1837" spans="4:4" x14ac:dyDescent="0.3">
      <c r="D1837" s="2"/>
    </row>
    <row r="1838" spans="4:4" x14ac:dyDescent="0.3">
      <c r="D1838" s="2"/>
    </row>
    <row r="1839" spans="4:4" x14ac:dyDescent="0.3">
      <c r="D1839" s="2"/>
    </row>
    <row r="1840" spans="4:4" x14ac:dyDescent="0.3">
      <c r="D1840" s="2"/>
    </row>
    <row r="1841" spans="4:4" x14ac:dyDescent="0.3">
      <c r="D1841" s="2"/>
    </row>
    <row r="1842" spans="4:4" x14ac:dyDescent="0.3">
      <c r="D1842" s="2"/>
    </row>
    <row r="1843" spans="4:4" x14ac:dyDescent="0.3">
      <c r="D1843" s="2"/>
    </row>
    <row r="1844" spans="4:4" x14ac:dyDescent="0.3">
      <c r="D1844" s="2"/>
    </row>
    <row r="1845" spans="4:4" x14ac:dyDescent="0.3">
      <c r="D1845" s="2"/>
    </row>
    <row r="1846" spans="4:4" x14ac:dyDescent="0.3">
      <c r="D1846" s="2"/>
    </row>
    <row r="1847" spans="4:4" x14ac:dyDescent="0.3">
      <c r="D1847" s="2"/>
    </row>
    <row r="1848" spans="4:4" x14ac:dyDescent="0.3">
      <c r="D1848" s="2"/>
    </row>
    <row r="1849" spans="4:4" x14ac:dyDescent="0.3">
      <c r="D1849" s="2"/>
    </row>
    <row r="1850" spans="4:4" x14ac:dyDescent="0.3">
      <c r="D1850" s="2"/>
    </row>
    <row r="1851" spans="4:4" x14ac:dyDescent="0.3">
      <c r="D1851" s="2"/>
    </row>
    <row r="1852" spans="4:4" x14ac:dyDescent="0.3">
      <c r="D1852" s="2"/>
    </row>
    <row r="1853" spans="4:4" x14ac:dyDescent="0.3">
      <c r="D1853" s="2"/>
    </row>
    <row r="1854" spans="4:4" x14ac:dyDescent="0.3">
      <c r="D1854" s="2"/>
    </row>
    <row r="1855" spans="4:4" x14ac:dyDescent="0.3">
      <c r="D1855" s="2"/>
    </row>
    <row r="1856" spans="4:4" x14ac:dyDescent="0.3">
      <c r="D1856" s="2"/>
    </row>
    <row r="1857" spans="4:4" x14ac:dyDescent="0.3">
      <c r="D1857" s="2"/>
    </row>
    <row r="1858" spans="4:4" x14ac:dyDescent="0.3">
      <c r="D1858" s="2"/>
    </row>
    <row r="1859" spans="4:4" x14ac:dyDescent="0.3">
      <c r="D1859" s="2"/>
    </row>
    <row r="1860" spans="4:4" x14ac:dyDescent="0.3">
      <c r="D1860" s="2"/>
    </row>
    <row r="1861" spans="4:4" x14ac:dyDescent="0.3">
      <c r="D1861" s="2"/>
    </row>
    <row r="1862" spans="4:4" x14ac:dyDescent="0.3">
      <c r="D1862" s="2"/>
    </row>
    <row r="1863" spans="4:4" x14ac:dyDescent="0.3">
      <c r="D1863" s="2"/>
    </row>
    <row r="1864" spans="4:4" x14ac:dyDescent="0.3">
      <c r="D1864" s="2"/>
    </row>
    <row r="1865" spans="4:4" x14ac:dyDescent="0.3">
      <c r="D1865" s="2"/>
    </row>
    <row r="1866" spans="4:4" x14ac:dyDescent="0.3">
      <c r="D1866" s="2"/>
    </row>
    <row r="1867" spans="4:4" x14ac:dyDescent="0.3">
      <c r="D1867" s="2"/>
    </row>
    <row r="1868" spans="4:4" x14ac:dyDescent="0.3">
      <c r="D1868" s="2"/>
    </row>
    <row r="1869" spans="4:4" x14ac:dyDescent="0.3">
      <c r="D1869" s="2"/>
    </row>
    <row r="1870" spans="4:4" x14ac:dyDescent="0.3">
      <c r="D1870" s="2"/>
    </row>
    <row r="1871" spans="4:4" x14ac:dyDescent="0.3">
      <c r="D1871" s="2"/>
    </row>
    <row r="1872" spans="4:4" x14ac:dyDescent="0.3">
      <c r="D1872" s="2"/>
    </row>
    <row r="1873" spans="4:4" x14ac:dyDescent="0.3">
      <c r="D1873" s="2"/>
    </row>
    <row r="1874" spans="4:4" x14ac:dyDescent="0.3">
      <c r="D1874" s="2"/>
    </row>
    <row r="1875" spans="4:4" x14ac:dyDescent="0.3">
      <c r="D1875" s="2"/>
    </row>
    <row r="1876" spans="4:4" x14ac:dyDescent="0.3">
      <c r="D1876" s="2"/>
    </row>
    <row r="1877" spans="4:4" x14ac:dyDescent="0.3">
      <c r="D1877" s="2"/>
    </row>
    <row r="1878" spans="4:4" x14ac:dyDescent="0.3">
      <c r="D1878" s="2"/>
    </row>
    <row r="1879" spans="4:4" x14ac:dyDescent="0.3">
      <c r="D1879" s="2"/>
    </row>
    <row r="1880" spans="4:4" x14ac:dyDescent="0.3">
      <c r="D1880" s="2"/>
    </row>
    <row r="1881" spans="4:4" x14ac:dyDescent="0.3">
      <c r="D1881" s="2"/>
    </row>
    <row r="1882" spans="4:4" x14ac:dyDescent="0.3">
      <c r="D1882" s="2"/>
    </row>
    <row r="1883" spans="4:4" x14ac:dyDescent="0.3">
      <c r="D1883" s="2"/>
    </row>
    <row r="1884" spans="4:4" x14ac:dyDescent="0.3">
      <c r="D1884" s="2"/>
    </row>
    <row r="1885" spans="4:4" x14ac:dyDescent="0.3">
      <c r="D1885" s="2"/>
    </row>
    <row r="1886" spans="4:4" x14ac:dyDescent="0.3">
      <c r="D1886" s="2"/>
    </row>
    <row r="1887" spans="4:4" x14ac:dyDescent="0.3">
      <c r="D1887" s="2"/>
    </row>
    <row r="1888" spans="4:4" x14ac:dyDescent="0.3">
      <c r="D1888" s="2"/>
    </row>
    <row r="1889" spans="4:4" x14ac:dyDescent="0.3">
      <c r="D1889" s="2"/>
    </row>
    <row r="1890" spans="4:4" x14ac:dyDescent="0.3">
      <c r="D1890" s="2"/>
    </row>
    <row r="1891" spans="4:4" x14ac:dyDescent="0.3">
      <c r="D1891" s="2"/>
    </row>
    <row r="1892" spans="4:4" x14ac:dyDescent="0.3">
      <c r="D1892" s="2"/>
    </row>
    <row r="1893" spans="4:4" x14ac:dyDescent="0.3">
      <c r="D1893" s="2"/>
    </row>
    <row r="1894" spans="4:4" x14ac:dyDescent="0.3">
      <c r="D1894" s="2"/>
    </row>
    <row r="1895" spans="4:4" x14ac:dyDescent="0.3">
      <c r="D1895" s="2"/>
    </row>
    <row r="1896" spans="4:4" x14ac:dyDescent="0.3">
      <c r="D1896" s="2"/>
    </row>
    <row r="1897" spans="4:4" x14ac:dyDescent="0.3">
      <c r="D1897" s="2"/>
    </row>
    <row r="1898" spans="4:4" x14ac:dyDescent="0.3">
      <c r="D1898" s="2"/>
    </row>
    <row r="1899" spans="4:4" x14ac:dyDescent="0.3">
      <c r="D1899" s="2"/>
    </row>
    <row r="1900" spans="4:4" x14ac:dyDescent="0.3">
      <c r="D1900" s="2"/>
    </row>
    <row r="1901" spans="4:4" x14ac:dyDescent="0.3">
      <c r="D1901" s="2"/>
    </row>
    <row r="1902" spans="4:4" x14ac:dyDescent="0.3">
      <c r="D1902" s="2"/>
    </row>
    <row r="1903" spans="4:4" x14ac:dyDescent="0.3">
      <c r="D1903" s="2"/>
    </row>
    <row r="1904" spans="4:4" x14ac:dyDescent="0.3">
      <c r="D1904" s="2"/>
    </row>
    <row r="1905" spans="4:4" x14ac:dyDescent="0.3">
      <c r="D1905" s="2"/>
    </row>
    <row r="1906" spans="4:4" x14ac:dyDescent="0.3">
      <c r="D1906" s="2"/>
    </row>
    <row r="1907" spans="4:4" x14ac:dyDescent="0.3">
      <c r="D1907" s="2"/>
    </row>
    <row r="1908" spans="4:4" x14ac:dyDescent="0.3">
      <c r="D1908" s="2"/>
    </row>
    <row r="1909" spans="4:4" x14ac:dyDescent="0.3">
      <c r="D1909" s="2"/>
    </row>
    <row r="1910" spans="4:4" x14ac:dyDescent="0.3">
      <c r="D1910" s="2"/>
    </row>
    <row r="1911" spans="4:4" x14ac:dyDescent="0.3">
      <c r="D1911" s="2"/>
    </row>
    <row r="1912" spans="4:4" x14ac:dyDescent="0.3">
      <c r="D1912" s="2"/>
    </row>
    <row r="1913" spans="4:4" x14ac:dyDescent="0.3">
      <c r="D1913" s="2"/>
    </row>
    <row r="1914" spans="4:4" x14ac:dyDescent="0.3">
      <c r="D1914" s="2"/>
    </row>
    <row r="1915" spans="4:4" x14ac:dyDescent="0.3">
      <c r="D1915" s="2"/>
    </row>
    <row r="1916" spans="4:4" x14ac:dyDescent="0.3">
      <c r="D1916" s="2"/>
    </row>
    <row r="1917" spans="4:4" x14ac:dyDescent="0.3">
      <c r="D1917" s="2"/>
    </row>
    <row r="1918" spans="4:4" x14ac:dyDescent="0.3">
      <c r="D1918" s="2"/>
    </row>
    <row r="1919" spans="4:4" x14ac:dyDescent="0.3">
      <c r="D1919" s="2"/>
    </row>
    <row r="1920" spans="4:4" x14ac:dyDescent="0.3">
      <c r="D1920" s="2"/>
    </row>
    <row r="1921" spans="4:4" x14ac:dyDescent="0.3">
      <c r="D1921" s="2"/>
    </row>
    <row r="1922" spans="4:4" x14ac:dyDescent="0.3">
      <c r="D1922" s="2"/>
    </row>
    <row r="1923" spans="4:4" x14ac:dyDescent="0.3">
      <c r="D1923" s="2"/>
    </row>
    <row r="1924" spans="4:4" x14ac:dyDescent="0.3">
      <c r="D1924" s="2"/>
    </row>
    <row r="1925" spans="4:4" x14ac:dyDescent="0.3">
      <c r="D1925" s="2"/>
    </row>
    <row r="1926" spans="4:4" x14ac:dyDescent="0.3">
      <c r="D1926" s="2"/>
    </row>
    <row r="1927" spans="4:4" x14ac:dyDescent="0.3">
      <c r="D1927" s="2"/>
    </row>
    <row r="1928" spans="4:4" x14ac:dyDescent="0.3">
      <c r="D1928" s="2"/>
    </row>
    <row r="1929" spans="4:4" x14ac:dyDescent="0.3">
      <c r="D1929" s="2"/>
    </row>
    <row r="1930" spans="4:4" x14ac:dyDescent="0.3">
      <c r="D1930" s="2"/>
    </row>
    <row r="1931" spans="4:4" x14ac:dyDescent="0.3">
      <c r="D1931" s="2"/>
    </row>
    <row r="1932" spans="4:4" x14ac:dyDescent="0.3">
      <c r="D1932" s="2"/>
    </row>
    <row r="1933" spans="4:4" x14ac:dyDescent="0.3">
      <c r="D1933" s="2"/>
    </row>
    <row r="1934" spans="4:4" x14ac:dyDescent="0.3">
      <c r="D1934" s="2"/>
    </row>
    <row r="1935" spans="4:4" x14ac:dyDescent="0.3">
      <c r="D1935" s="2"/>
    </row>
    <row r="1936" spans="4:4" x14ac:dyDescent="0.3">
      <c r="D1936" s="2"/>
    </row>
    <row r="1937" spans="4:4" x14ac:dyDescent="0.3">
      <c r="D1937" s="2"/>
    </row>
    <row r="1938" spans="4:4" x14ac:dyDescent="0.3">
      <c r="D1938" s="2"/>
    </row>
    <row r="1939" spans="4:4" x14ac:dyDescent="0.3">
      <c r="D1939" s="2"/>
    </row>
    <row r="1940" spans="4:4" x14ac:dyDescent="0.3">
      <c r="D1940" s="2"/>
    </row>
    <row r="1941" spans="4:4" x14ac:dyDescent="0.3">
      <c r="D1941" s="2"/>
    </row>
    <row r="1942" spans="4:4" x14ac:dyDescent="0.3">
      <c r="D1942" s="2"/>
    </row>
    <row r="1943" spans="4:4" x14ac:dyDescent="0.3">
      <c r="D1943" s="2"/>
    </row>
    <row r="1944" spans="4:4" x14ac:dyDescent="0.3">
      <c r="D1944" s="2"/>
    </row>
    <row r="1945" spans="4:4" x14ac:dyDescent="0.3">
      <c r="D1945" s="2"/>
    </row>
    <row r="1946" spans="4:4" x14ac:dyDescent="0.3">
      <c r="D1946" s="2"/>
    </row>
    <row r="1947" spans="4:4" x14ac:dyDescent="0.3">
      <c r="D1947" s="2"/>
    </row>
    <row r="1948" spans="4:4" x14ac:dyDescent="0.3">
      <c r="D1948" s="2"/>
    </row>
    <row r="1949" spans="4:4" x14ac:dyDescent="0.3">
      <c r="D1949" s="2"/>
    </row>
    <row r="1950" spans="4:4" x14ac:dyDescent="0.3">
      <c r="D1950" s="2"/>
    </row>
    <row r="1951" spans="4:4" x14ac:dyDescent="0.3">
      <c r="D1951" s="2"/>
    </row>
    <row r="1952" spans="4:4" x14ac:dyDescent="0.3">
      <c r="D1952" s="2"/>
    </row>
    <row r="1953" spans="4:4" x14ac:dyDescent="0.3">
      <c r="D1953" s="2"/>
    </row>
    <row r="1954" spans="4:4" x14ac:dyDescent="0.3">
      <c r="D1954" s="2"/>
    </row>
    <row r="1955" spans="4:4" x14ac:dyDescent="0.3">
      <c r="D1955" s="2"/>
    </row>
    <row r="1956" spans="4:4" x14ac:dyDescent="0.3">
      <c r="D1956" s="2"/>
    </row>
    <row r="1957" spans="4:4" x14ac:dyDescent="0.3">
      <c r="D1957" s="2"/>
    </row>
    <row r="1958" spans="4:4" x14ac:dyDescent="0.3">
      <c r="D1958" s="2"/>
    </row>
    <row r="1959" spans="4:4" x14ac:dyDescent="0.3">
      <c r="D1959" s="2"/>
    </row>
    <row r="1960" spans="4:4" x14ac:dyDescent="0.3">
      <c r="D1960" s="2"/>
    </row>
    <row r="1961" spans="4:4" x14ac:dyDescent="0.3">
      <c r="D1961" s="2"/>
    </row>
    <row r="1962" spans="4:4" x14ac:dyDescent="0.3">
      <c r="D1962" s="2"/>
    </row>
    <row r="1963" spans="4:4" x14ac:dyDescent="0.3">
      <c r="D1963" s="2"/>
    </row>
    <row r="1964" spans="4:4" x14ac:dyDescent="0.3">
      <c r="D1964" s="2"/>
    </row>
    <row r="1965" spans="4:4" x14ac:dyDescent="0.3">
      <c r="D1965" s="2"/>
    </row>
    <row r="1966" spans="4:4" x14ac:dyDescent="0.3">
      <c r="D1966" s="2"/>
    </row>
    <row r="1967" spans="4:4" x14ac:dyDescent="0.3">
      <c r="D1967" s="2"/>
    </row>
    <row r="1968" spans="4:4" x14ac:dyDescent="0.3">
      <c r="D1968" s="2"/>
    </row>
    <row r="1969" spans="4:4" x14ac:dyDescent="0.3">
      <c r="D1969" s="2"/>
    </row>
    <row r="1970" spans="4:4" x14ac:dyDescent="0.3">
      <c r="D1970" s="2"/>
    </row>
    <row r="1971" spans="4:4" x14ac:dyDescent="0.3">
      <c r="D1971" s="2"/>
    </row>
    <row r="1972" spans="4:4" x14ac:dyDescent="0.3">
      <c r="D1972" s="2"/>
    </row>
    <row r="1973" spans="4:4" x14ac:dyDescent="0.3">
      <c r="D1973" s="2"/>
    </row>
    <row r="1974" spans="4:4" x14ac:dyDescent="0.3">
      <c r="D1974" s="2"/>
    </row>
    <row r="1975" spans="4:4" x14ac:dyDescent="0.3">
      <c r="D1975" s="2"/>
    </row>
    <row r="1976" spans="4:4" x14ac:dyDescent="0.3">
      <c r="D1976" s="2"/>
    </row>
    <row r="1977" spans="4:4" x14ac:dyDescent="0.3">
      <c r="D1977" s="2"/>
    </row>
    <row r="1978" spans="4:4" x14ac:dyDescent="0.3">
      <c r="D1978" s="2"/>
    </row>
    <row r="1979" spans="4:4" x14ac:dyDescent="0.3">
      <c r="D1979" s="2"/>
    </row>
    <row r="1980" spans="4:4" x14ac:dyDescent="0.3">
      <c r="D1980" s="2"/>
    </row>
    <row r="1981" spans="4:4" x14ac:dyDescent="0.3">
      <c r="D1981" s="2"/>
    </row>
    <row r="1982" spans="4:4" x14ac:dyDescent="0.3">
      <c r="D1982" s="2"/>
    </row>
    <row r="1983" spans="4:4" x14ac:dyDescent="0.3">
      <c r="D1983" s="2"/>
    </row>
    <row r="1984" spans="4:4" x14ac:dyDescent="0.3">
      <c r="D1984" s="2"/>
    </row>
    <row r="1985" spans="4:4" x14ac:dyDescent="0.3">
      <c r="D1985" s="2"/>
    </row>
    <row r="1986" spans="4:4" x14ac:dyDescent="0.3">
      <c r="D1986" s="2"/>
    </row>
    <row r="1987" spans="4:4" x14ac:dyDescent="0.3">
      <c r="D1987" s="2"/>
    </row>
    <row r="1988" spans="4:4" x14ac:dyDescent="0.3">
      <c r="D1988" s="2"/>
    </row>
    <row r="1989" spans="4:4" x14ac:dyDescent="0.3">
      <c r="D1989" s="2"/>
    </row>
    <row r="1990" spans="4:4" x14ac:dyDescent="0.3">
      <c r="D1990" s="2"/>
    </row>
    <row r="1991" spans="4:4" x14ac:dyDescent="0.3">
      <c r="D1991" s="2"/>
    </row>
    <row r="1992" spans="4:4" x14ac:dyDescent="0.3">
      <c r="D1992" s="2"/>
    </row>
    <row r="1993" spans="4:4" x14ac:dyDescent="0.3">
      <c r="D1993" s="2"/>
    </row>
    <row r="1994" spans="4:4" x14ac:dyDescent="0.3">
      <c r="D1994" s="2"/>
    </row>
    <row r="1995" spans="4:4" x14ac:dyDescent="0.3">
      <c r="D1995" s="2"/>
    </row>
    <row r="1996" spans="4:4" x14ac:dyDescent="0.3">
      <c r="D1996" s="2"/>
    </row>
    <row r="1997" spans="4:4" x14ac:dyDescent="0.3">
      <c r="D1997" s="2"/>
    </row>
    <row r="1998" spans="4:4" x14ac:dyDescent="0.3">
      <c r="D1998" s="2"/>
    </row>
    <row r="1999" spans="4:4" x14ac:dyDescent="0.3">
      <c r="D1999" s="2"/>
    </row>
    <row r="2000" spans="4:4" x14ac:dyDescent="0.3">
      <c r="D2000" s="2"/>
    </row>
    <row r="2001" spans="4:4" x14ac:dyDescent="0.3">
      <c r="D2001" s="2"/>
    </row>
    <row r="2002" spans="4:4" x14ac:dyDescent="0.3">
      <c r="D2002" s="2"/>
    </row>
    <row r="2003" spans="4:4" x14ac:dyDescent="0.3">
      <c r="D2003" s="2"/>
    </row>
    <row r="2004" spans="4:4" x14ac:dyDescent="0.3">
      <c r="D2004" s="2"/>
    </row>
    <row r="2005" spans="4:4" x14ac:dyDescent="0.3">
      <c r="D2005" s="2"/>
    </row>
    <row r="2006" spans="4:4" x14ac:dyDescent="0.3">
      <c r="D2006" s="2"/>
    </row>
    <row r="2007" spans="4:4" x14ac:dyDescent="0.3">
      <c r="D2007" s="2"/>
    </row>
    <row r="2008" spans="4:4" x14ac:dyDescent="0.3">
      <c r="D2008" s="2"/>
    </row>
    <row r="2009" spans="4:4" x14ac:dyDescent="0.3">
      <c r="D2009" s="2"/>
    </row>
    <row r="2010" spans="4:4" x14ac:dyDescent="0.3">
      <c r="D2010" s="2"/>
    </row>
    <row r="2011" spans="4:4" x14ac:dyDescent="0.3">
      <c r="D2011" s="2"/>
    </row>
    <row r="2012" spans="4:4" x14ac:dyDescent="0.3">
      <c r="D2012" s="2"/>
    </row>
    <row r="2013" spans="4:4" x14ac:dyDescent="0.3">
      <c r="D2013" s="2"/>
    </row>
    <row r="2014" spans="4:4" x14ac:dyDescent="0.3">
      <c r="D2014" s="2"/>
    </row>
    <row r="2015" spans="4:4" x14ac:dyDescent="0.3">
      <c r="D2015" s="2"/>
    </row>
    <row r="2016" spans="4:4" x14ac:dyDescent="0.3">
      <c r="D2016" s="2"/>
    </row>
    <row r="2017" spans="4:4" x14ac:dyDescent="0.3">
      <c r="D2017" s="2"/>
    </row>
    <row r="2018" spans="4:4" x14ac:dyDescent="0.3">
      <c r="D2018" s="2"/>
    </row>
    <row r="2019" spans="4:4" x14ac:dyDescent="0.3">
      <c r="D2019" s="2"/>
    </row>
    <row r="2020" spans="4:4" x14ac:dyDescent="0.3">
      <c r="D2020" s="2"/>
    </row>
    <row r="2021" spans="4:4" x14ac:dyDescent="0.3">
      <c r="D2021" s="2"/>
    </row>
    <row r="2022" spans="4:4" x14ac:dyDescent="0.3">
      <c r="D2022" s="2"/>
    </row>
    <row r="2023" spans="4:4" x14ac:dyDescent="0.3">
      <c r="D2023" s="2"/>
    </row>
    <row r="2024" spans="4:4" x14ac:dyDescent="0.3">
      <c r="D2024" s="2"/>
    </row>
    <row r="2025" spans="4:4" x14ac:dyDescent="0.3">
      <c r="D2025" s="2"/>
    </row>
    <row r="2026" spans="4:4" x14ac:dyDescent="0.3">
      <c r="D2026" s="2"/>
    </row>
    <row r="2027" spans="4:4" x14ac:dyDescent="0.3">
      <c r="D2027" s="2"/>
    </row>
    <row r="2028" spans="4:4" x14ac:dyDescent="0.3">
      <c r="D2028" s="2"/>
    </row>
    <row r="2029" spans="4:4" x14ac:dyDescent="0.3">
      <c r="D2029" s="2"/>
    </row>
    <row r="2030" spans="4:4" x14ac:dyDescent="0.3">
      <c r="D2030" s="2"/>
    </row>
    <row r="2031" spans="4:4" x14ac:dyDescent="0.3">
      <c r="D2031" s="2"/>
    </row>
    <row r="2032" spans="4:4" x14ac:dyDescent="0.3">
      <c r="D2032" s="2"/>
    </row>
    <row r="2033" spans="4:4" x14ac:dyDescent="0.3">
      <c r="D2033" s="2"/>
    </row>
    <row r="2034" spans="4:4" x14ac:dyDescent="0.3">
      <c r="D2034" s="2"/>
    </row>
    <row r="2035" spans="4:4" x14ac:dyDescent="0.3">
      <c r="D2035" s="2"/>
    </row>
    <row r="2036" spans="4:4" x14ac:dyDescent="0.3">
      <c r="D2036" s="2"/>
    </row>
    <row r="2037" spans="4:4" x14ac:dyDescent="0.3">
      <c r="D2037" s="2"/>
    </row>
    <row r="2038" spans="4:4" x14ac:dyDescent="0.3">
      <c r="D2038" s="2"/>
    </row>
    <row r="2039" spans="4:4" x14ac:dyDescent="0.3">
      <c r="D2039" s="2"/>
    </row>
    <row r="2040" spans="4:4" x14ac:dyDescent="0.3">
      <c r="D2040" s="2"/>
    </row>
    <row r="2041" spans="4:4" x14ac:dyDescent="0.3">
      <c r="D2041" s="2"/>
    </row>
    <row r="2042" spans="4:4" x14ac:dyDescent="0.3">
      <c r="D2042" s="2"/>
    </row>
    <row r="2043" spans="4:4" x14ac:dyDescent="0.3">
      <c r="D2043" s="2"/>
    </row>
    <row r="2044" spans="4:4" x14ac:dyDescent="0.3">
      <c r="D2044" s="2"/>
    </row>
    <row r="2045" spans="4:4" x14ac:dyDescent="0.3">
      <c r="D2045" s="2"/>
    </row>
    <row r="2046" spans="4:4" x14ac:dyDescent="0.3">
      <c r="D2046" s="2"/>
    </row>
    <row r="2047" spans="4:4" x14ac:dyDescent="0.3">
      <c r="D2047" s="2"/>
    </row>
    <row r="2048" spans="4:4" x14ac:dyDescent="0.3">
      <c r="D2048" s="2"/>
    </row>
    <row r="2049" spans="4:4" x14ac:dyDescent="0.3">
      <c r="D2049" s="2"/>
    </row>
    <row r="2050" spans="4:4" x14ac:dyDescent="0.3">
      <c r="D2050" s="2"/>
    </row>
    <row r="2051" spans="4:4" x14ac:dyDescent="0.3">
      <c r="D2051" s="2"/>
    </row>
    <row r="2052" spans="4:4" x14ac:dyDescent="0.3">
      <c r="D2052" s="2"/>
    </row>
    <row r="2053" spans="4:4" x14ac:dyDescent="0.3">
      <c r="D2053" s="2"/>
    </row>
    <row r="2054" spans="4:4" x14ac:dyDescent="0.3">
      <c r="D2054" s="2"/>
    </row>
    <row r="2055" spans="4:4" x14ac:dyDescent="0.3">
      <c r="D2055" s="2"/>
    </row>
    <row r="2056" spans="4:4" x14ac:dyDescent="0.3">
      <c r="D2056" s="2"/>
    </row>
    <row r="2057" spans="4:4" x14ac:dyDescent="0.3">
      <c r="D2057" s="2"/>
    </row>
    <row r="2058" spans="4:4" x14ac:dyDescent="0.3">
      <c r="D2058" s="2"/>
    </row>
    <row r="2059" spans="4:4" x14ac:dyDescent="0.3">
      <c r="D2059" s="2"/>
    </row>
    <row r="2060" spans="4:4" x14ac:dyDescent="0.3">
      <c r="D2060" s="2"/>
    </row>
    <row r="2061" spans="4:4" x14ac:dyDescent="0.3">
      <c r="D2061" s="2"/>
    </row>
    <row r="2062" spans="4:4" x14ac:dyDescent="0.3">
      <c r="D2062" s="2"/>
    </row>
    <row r="2063" spans="4:4" x14ac:dyDescent="0.3">
      <c r="D2063" s="2"/>
    </row>
    <row r="2064" spans="4:4" x14ac:dyDescent="0.3">
      <c r="D2064" s="2"/>
    </row>
    <row r="2065" spans="4:4" x14ac:dyDescent="0.3">
      <c r="D2065" s="2"/>
    </row>
    <row r="2066" spans="4:4" x14ac:dyDescent="0.3">
      <c r="D2066" s="2"/>
    </row>
    <row r="2067" spans="4:4" x14ac:dyDescent="0.3">
      <c r="D2067" s="2"/>
    </row>
    <row r="2068" spans="4:4" x14ac:dyDescent="0.3">
      <c r="D2068" s="2"/>
    </row>
    <row r="2069" spans="4:4" x14ac:dyDescent="0.3">
      <c r="D2069" s="2"/>
    </row>
    <row r="2070" spans="4:4" x14ac:dyDescent="0.3">
      <c r="D2070" s="2"/>
    </row>
    <row r="2071" spans="4:4" x14ac:dyDescent="0.3">
      <c r="D2071" s="2"/>
    </row>
    <row r="2072" spans="4:4" x14ac:dyDescent="0.3">
      <c r="D2072" s="2"/>
    </row>
    <row r="2073" spans="4:4" x14ac:dyDescent="0.3">
      <c r="D2073" s="2"/>
    </row>
    <row r="2074" spans="4:4" x14ac:dyDescent="0.3">
      <c r="D2074" s="2"/>
    </row>
    <row r="2075" spans="4:4" x14ac:dyDescent="0.3">
      <c r="D2075" s="2"/>
    </row>
    <row r="2076" spans="4:4" x14ac:dyDescent="0.3">
      <c r="D2076" s="2"/>
    </row>
    <row r="2077" spans="4:4" x14ac:dyDescent="0.3">
      <c r="D2077" s="2"/>
    </row>
    <row r="2078" spans="4:4" x14ac:dyDescent="0.3">
      <c r="D2078" s="2"/>
    </row>
    <row r="2079" spans="4:4" x14ac:dyDescent="0.3">
      <c r="D2079" s="2"/>
    </row>
    <row r="2080" spans="4:4" x14ac:dyDescent="0.3">
      <c r="D2080" s="2"/>
    </row>
    <row r="2081" spans="4:4" x14ac:dyDescent="0.3">
      <c r="D2081" s="2"/>
    </row>
    <row r="2082" spans="4:4" x14ac:dyDescent="0.3">
      <c r="D2082" s="2"/>
    </row>
    <row r="2083" spans="4:4" x14ac:dyDescent="0.3">
      <c r="D2083" s="2"/>
    </row>
    <row r="2084" spans="4:4" x14ac:dyDescent="0.3">
      <c r="D2084" s="2"/>
    </row>
    <row r="2085" spans="4:4" x14ac:dyDescent="0.3">
      <c r="D2085" s="2"/>
    </row>
    <row r="2086" spans="4:4" x14ac:dyDescent="0.3">
      <c r="D2086" s="2"/>
    </row>
    <row r="2087" spans="4:4" x14ac:dyDescent="0.3">
      <c r="D2087" s="2"/>
    </row>
    <row r="2088" spans="4:4" x14ac:dyDescent="0.3">
      <c r="D2088" s="2"/>
    </row>
    <row r="2089" spans="4:4" x14ac:dyDescent="0.3">
      <c r="D2089" s="2"/>
    </row>
    <row r="2090" spans="4:4" x14ac:dyDescent="0.3">
      <c r="D2090" s="2"/>
    </row>
    <row r="2091" spans="4:4" x14ac:dyDescent="0.3">
      <c r="D2091" s="2"/>
    </row>
    <row r="2092" spans="4:4" x14ac:dyDescent="0.3">
      <c r="D2092" s="2"/>
    </row>
    <row r="2093" spans="4:4" x14ac:dyDescent="0.3">
      <c r="D2093" s="2"/>
    </row>
    <row r="2094" spans="4:4" x14ac:dyDescent="0.3">
      <c r="D2094" s="2"/>
    </row>
    <row r="2095" spans="4:4" x14ac:dyDescent="0.3">
      <c r="D2095" s="2"/>
    </row>
    <row r="2096" spans="4:4" x14ac:dyDescent="0.3">
      <c r="D2096" s="2"/>
    </row>
    <row r="2097" spans="4:4" x14ac:dyDescent="0.3">
      <c r="D2097" s="2"/>
    </row>
    <row r="2098" spans="4:4" x14ac:dyDescent="0.3">
      <c r="D2098" s="2"/>
    </row>
    <row r="2099" spans="4:4" x14ac:dyDescent="0.3">
      <c r="D2099" s="2"/>
    </row>
    <row r="2100" spans="4:4" x14ac:dyDescent="0.3">
      <c r="D2100" s="2"/>
    </row>
    <row r="2101" spans="4:4" x14ac:dyDescent="0.3">
      <c r="D2101" s="2"/>
    </row>
    <row r="2102" spans="4:4" x14ac:dyDescent="0.3">
      <c r="D2102" s="2"/>
    </row>
    <row r="2103" spans="4:4" x14ac:dyDescent="0.3">
      <c r="D2103" s="2"/>
    </row>
    <row r="2104" spans="4:4" x14ac:dyDescent="0.3">
      <c r="D2104" s="2"/>
    </row>
    <row r="2105" spans="4:4" x14ac:dyDescent="0.3">
      <c r="D2105" s="2"/>
    </row>
    <row r="2106" spans="4:4" x14ac:dyDescent="0.3">
      <c r="D2106" s="2"/>
    </row>
    <row r="2107" spans="4:4" x14ac:dyDescent="0.3">
      <c r="D2107" s="2"/>
    </row>
    <row r="2108" spans="4:4" x14ac:dyDescent="0.3">
      <c r="D2108" s="2"/>
    </row>
    <row r="2109" spans="4:4" x14ac:dyDescent="0.3">
      <c r="D2109" s="2"/>
    </row>
    <row r="2110" spans="4:4" x14ac:dyDescent="0.3">
      <c r="D2110" s="2"/>
    </row>
    <row r="2111" spans="4:4" x14ac:dyDescent="0.3">
      <c r="D2111" s="2"/>
    </row>
    <row r="2112" spans="4:4" x14ac:dyDescent="0.3">
      <c r="D2112" s="2"/>
    </row>
    <row r="2113" spans="4:4" x14ac:dyDescent="0.3">
      <c r="D2113" s="2"/>
    </row>
    <row r="2114" spans="4:4" x14ac:dyDescent="0.3">
      <c r="D2114" s="2"/>
    </row>
    <row r="2115" spans="4:4" x14ac:dyDescent="0.3">
      <c r="D2115" s="2"/>
    </row>
    <row r="2116" spans="4:4" x14ac:dyDescent="0.3">
      <c r="D2116" s="2"/>
    </row>
    <row r="2117" spans="4:4" x14ac:dyDescent="0.3">
      <c r="D2117" s="2"/>
    </row>
    <row r="2118" spans="4:4" x14ac:dyDescent="0.3">
      <c r="D2118" s="2"/>
    </row>
    <row r="2119" spans="4:4" x14ac:dyDescent="0.3">
      <c r="D2119" s="2"/>
    </row>
    <row r="2120" spans="4:4" x14ac:dyDescent="0.3">
      <c r="D2120" s="2"/>
    </row>
    <row r="2121" spans="4:4" x14ac:dyDescent="0.3">
      <c r="D2121" s="2"/>
    </row>
    <row r="2122" spans="4:4" x14ac:dyDescent="0.3">
      <c r="D2122" s="2"/>
    </row>
    <row r="2123" spans="4:4" x14ac:dyDescent="0.3">
      <c r="D2123" s="2"/>
    </row>
    <row r="2124" spans="4:4" x14ac:dyDescent="0.3">
      <c r="D2124" s="2"/>
    </row>
    <row r="2125" spans="4:4" x14ac:dyDescent="0.3">
      <c r="D2125" s="2"/>
    </row>
    <row r="2126" spans="4:4" x14ac:dyDescent="0.3">
      <c r="D2126" s="2"/>
    </row>
    <row r="2127" spans="4:4" x14ac:dyDescent="0.3">
      <c r="D2127" s="2"/>
    </row>
    <row r="2128" spans="4:4" x14ac:dyDescent="0.3">
      <c r="D2128" s="2"/>
    </row>
    <row r="2129" spans="4:4" x14ac:dyDescent="0.3">
      <c r="D2129" s="2"/>
    </row>
    <row r="2130" spans="4:4" x14ac:dyDescent="0.3">
      <c r="D2130" s="2"/>
    </row>
    <row r="2131" spans="4:4" x14ac:dyDescent="0.3">
      <c r="D2131" s="2"/>
    </row>
    <row r="2132" spans="4:4" x14ac:dyDescent="0.3">
      <c r="D2132" s="2"/>
    </row>
    <row r="2133" spans="4:4" x14ac:dyDescent="0.3">
      <c r="D2133" s="2"/>
    </row>
    <row r="2134" spans="4:4" x14ac:dyDescent="0.3">
      <c r="D2134" s="2"/>
    </row>
    <row r="2135" spans="4:4" x14ac:dyDescent="0.3">
      <c r="D2135" s="2"/>
    </row>
    <row r="2136" spans="4:4" x14ac:dyDescent="0.3">
      <c r="D2136" s="2"/>
    </row>
    <row r="2137" spans="4:4" x14ac:dyDescent="0.3">
      <c r="D2137" s="2"/>
    </row>
    <row r="2138" spans="4:4" x14ac:dyDescent="0.3">
      <c r="D2138" s="2"/>
    </row>
    <row r="2139" spans="4:4" x14ac:dyDescent="0.3">
      <c r="D2139" s="2"/>
    </row>
    <row r="2140" spans="4:4" x14ac:dyDescent="0.3">
      <c r="D2140" s="2"/>
    </row>
    <row r="2141" spans="4:4" x14ac:dyDescent="0.3">
      <c r="D2141" s="2"/>
    </row>
    <row r="2142" spans="4:4" x14ac:dyDescent="0.3">
      <c r="D2142" s="2"/>
    </row>
    <row r="2143" spans="4:4" x14ac:dyDescent="0.3">
      <c r="D2143" s="2"/>
    </row>
    <row r="2144" spans="4:4" x14ac:dyDescent="0.3">
      <c r="D2144" s="2"/>
    </row>
    <row r="2145" spans="4:4" x14ac:dyDescent="0.3">
      <c r="D2145" s="2"/>
    </row>
    <row r="2146" spans="4:4" x14ac:dyDescent="0.3">
      <c r="D2146" s="2"/>
    </row>
    <row r="2147" spans="4:4" x14ac:dyDescent="0.3">
      <c r="D2147" s="2"/>
    </row>
    <row r="2148" spans="4:4" x14ac:dyDescent="0.3">
      <c r="D2148" s="2"/>
    </row>
    <row r="2149" spans="4:4" x14ac:dyDescent="0.3">
      <c r="D2149" s="2"/>
    </row>
    <row r="2150" spans="4:4" x14ac:dyDescent="0.3">
      <c r="D2150" s="2"/>
    </row>
    <row r="2151" spans="4:4" x14ac:dyDescent="0.3">
      <c r="D2151" s="2"/>
    </row>
    <row r="2152" spans="4:4" x14ac:dyDescent="0.3">
      <c r="D2152" s="2"/>
    </row>
    <row r="2153" spans="4:4" x14ac:dyDescent="0.3">
      <c r="D2153" s="2"/>
    </row>
    <row r="2154" spans="4:4" x14ac:dyDescent="0.3">
      <c r="D2154" s="2"/>
    </row>
    <row r="2155" spans="4:4" x14ac:dyDescent="0.3">
      <c r="D2155" s="2"/>
    </row>
    <row r="2156" spans="4:4" x14ac:dyDescent="0.3">
      <c r="D2156" s="2"/>
    </row>
    <row r="2157" spans="4:4" x14ac:dyDescent="0.3">
      <c r="D2157" s="2"/>
    </row>
    <row r="2158" spans="4:4" x14ac:dyDescent="0.3">
      <c r="D2158" s="2"/>
    </row>
    <row r="2159" spans="4:4" x14ac:dyDescent="0.3">
      <c r="D2159" s="2"/>
    </row>
    <row r="2160" spans="4:4" x14ac:dyDescent="0.3">
      <c r="D2160" s="2"/>
    </row>
    <row r="2161" spans="4:4" x14ac:dyDescent="0.3">
      <c r="D2161" s="2"/>
    </row>
    <row r="2162" spans="4:4" x14ac:dyDescent="0.3">
      <c r="D2162" s="2"/>
    </row>
    <row r="2163" spans="4:4" x14ac:dyDescent="0.3">
      <c r="D2163" s="2"/>
    </row>
    <row r="2164" spans="4:4" x14ac:dyDescent="0.3">
      <c r="D2164" s="2"/>
    </row>
    <row r="2165" spans="4:4" x14ac:dyDescent="0.3">
      <c r="D2165" s="2"/>
    </row>
    <row r="2166" spans="4:4" x14ac:dyDescent="0.3">
      <c r="D2166" s="2"/>
    </row>
    <row r="2167" spans="4:4" x14ac:dyDescent="0.3">
      <c r="D2167" s="2"/>
    </row>
    <row r="2168" spans="4:4" x14ac:dyDescent="0.3">
      <c r="D2168" s="2"/>
    </row>
    <row r="2169" spans="4:4" x14ac:dyDescent="0.3">
      <c r="D2169" s="2"/>
    </row>
    <row r="2170" spans="4:4" x14ac:dyDescent="0.3">
      <c r="D2170" s="2"/>
    </row>
    <row r="2171" spans="4:4" x14ac:dyDescent="0.3">
      <c r="D2171" s="2"/>
    </row>
    <row r="2172" spans="4:4" x14ac:dyDescent="0.3">
      <c r="D2172" s="2"/>
    </row>
    <row r="2173" spans="4:4" x14ac:dyDescent="0.3">
      <c r="D2173" s="2"/>
    </row>
    <row r="2174" spans="4:4" x14ac:dyDescent="0.3">
      <c r="D2174" s="2"/>
    </row>
    <row r="2175" spans="4:4" x14ac:dyDescent="0.3">
      <c r="D2175" s="2"/>
    </row>
    <row r="2176" spans="4:4" x14ac:dyDescent="0.3">
      <c r="D2176" s="2"/>
    </row>
    <row r="2177" spans="4:4" x14ac:dyDescent="0.3">
      <c r="D2177" s="2"/>
    </row>
    <row r="2178" spans="4:4" x14ac:dyDescent="0.3">
      <c r="D2178" s="2"/>
    </row>
    <row r="2179" spans="4:4" x14ac:dyDescent="0.3">
      <c r="D2179" s="2"/>
    </row>
    <row r="2180" spans="4:4" x14ac:dyDescent="0.3">
      <c r="D2180" s="2"/>
    </row>
    <row r="2181" spans="4:4" x14ac:dyDescent="0.3">
      <c r="D2181" s="2"/>
    </row>
    <row r="2182" spans="4:4" x14ac:dyDescent="0.3">
      <c r="D2182" s="2"/>
    </row>
    <row r="2183" spans="4:4" x14ac:dyDescent="0.3">
      <c r="D2183" s="2"/>
    </row>
    <row r="2184" spans="4:4" x14ac:dyDescent="0.3">
      <c r="D2184" s="2"/>
    </row>
    <row r="2185" spans="4:4" x14ac:dyDescent="0.3">
      <c r="D2185" s="2"/>
    </row>
    <row r="2186" spans="4:4" x14ac:dyDescent="0.3">
      <c r="D2186" s="2"/>
    </row>
    <row r="2187" spans="4:4" x14ac:dyDescent="0.3">
      <c r="D2187" s="2"/>
    </row>
    <row r="2188" spans="4:4" x14ac:dyDescent="0.3">
      <c r="D2188" s="2"/>
    </row>
    <row r="2189" spans="4:4" x14ac:dyDescent="0.3">
      <c r="D2189" s="2"/>
    </row>
    <row r="2190" spans="4:4" x14ac:dyDescent="0.3">
      <c r="D2190" s="2"/>
    </row>
    <row r="2191" spans="4:4" x14ac:dyDescent="0.3">
      <c r="D2191" s="2"/>
    </row>
    <row r="2192" spans="4:4" x14ac:dyDescent="0.3">
      <c r="D2192" s="2"/>
    </row>
    <row r="2193" spans="4:4" x14ac:dyDescent="0.3">
      <c r="D2193" s="2"/>
    </row>
    <row r="2194" spans="4:4" x14ac:dyDescent="0.3">
      <c r="D2194" s="2"/>
    </row>
    <row r="2195" spans="4:4" x14ac:dyDescent="0.3">
      <c r="D2195" s="2"/>
    </row>
    <row r="2196" spans="4:4" x14ac:dyDescent="0.3">
      <c r="D2196" s="2"/>
    </row>
    <row r="2197" spans="4:4" x14ac:dyDescent="0.3">
      <c r="D2197" s="2"/>
    </row>
    <row r="2198" spans="4:4" x14ac:dyDescent="0.3">
      <c r="D2198" s="2"/>
    </row>
    <row r="2199" spans="4:4" x14ac:dyDescent="0.3">
      <c r="D2199" s="2"/>
    </row>
    <row r="2200" spans="4:4" x14ac:dyDescent="0.3">
      <c r="D2200" s="2"/>
    </row>
    <row r="2201" spans="4:4" x14ac:dyDescent="0.3">
      <c r="D2201" s="2"/>
    </row>
    <row r="2202" spans="4:4" x14ac:dyDescent="0.3">
      <c r="D2202" s="2"/>
    </row>
    <row r="2203" spans="4:4" x14ac:dyDescent="0.3">
      <c r="D2203" s="2"/>
    </row>
    <row r="2204" spans="4:4" x14ac:dyDescent="0.3">
      <c r="D2204" s="2"/>
    </row>
    <row r="2205" spans="4:4" x14ac:dyDescent="0.3">
      <c r="D2205" s="2"/>
    </row>
    <row r="2206" spans="4:4" x14ac:dyDescent="0.3">
      <c r="D2206" s="2"/>
    </row>
    <row r="2207" spans="4:4" x14ac:dyDescent="0.3">
      <c r="D2207" s="2"/>
    </row>
    <row r="2208" spans="4:4" x14ac:dyDescent="0.3">
      <c r="D2208" s="2"/>
    </row>
    <row r="2209" spans="4:4" x14ac:dyDescent="0.3">
      <c r="D2209" s="2"/>
    </row>
    <row r="2210" spans="4:4" x14ac:dyDescent="0.3">
      <c r="D2210" s="2"/>
    </row>
    <row r="2211" spans="4:4" x14ac:dyDescent="0.3">
      <c r="D2211" s="2"/>
    </row>
    <row r="2212" spans="4:4" x14ac:dyDescent="0.3">
      <c r="D2212" s="2"/>
    </row>
    <row r="2213" spans="4:4" x14ac:dyDescent="0.3">
      <c r="D2213" s="2"/>
    </row>
    <row r="2214" spans="4:4" x14ac:dyDescent="0.3">
      <c r="D2214" s="2"/>
    </row>
    <row r="2215" spans="4:4" x14ac:dyDescent="0.3">
      <c r="D2215" s="2"/>
    </row>
    <row r="2216" spans="4:4" x14ac:dyDescent="0.3">
      <c r="D2216" s="2"/>
    </row>
    <row r="2217" spans="4:4" x14ac:dyDescent="0.3">
      <c r="D2217" s="2"/>
    </row>
    <row r="2218" spans="4:4" x14ac:dyDescent="0.3">
      <c r="D2218" s="2"/>
    </row>
    <row r="2219" spans="4:4" x14ac:dyDescent="0.3">
      <c r="D2219" s="2"/>
    </row>
    <row r="2220" spans="4:4" x14ac:dyDescent="0.3">
      <c r="D2220" s="2"/>
    </row>
    <row r="2221" spans="4:4" x14ac:dyDescent="0.3">
      <c r="D2221" s="2"/>
    </row>
    <row r="2222" spans="4:4" x14ac:dyDescent="0.3">
      <c r="D2222" s="2"/>
    </row>
    <row r="2223" spans="4:4" x14ac:dyDescent="0.3">
      <c r="D2223" s="2"/>
    </row>
    <row r="2224" spans="4:4" x14ac:dyDescent="0.3">
      <c r="D2224" s="2"/>
    </row>
    <row r="2225" spans="4:4" x14ac:dyDescent="0.3">
      <c r="D2225" s="2"/>
    </row>
    <row r="2226" spans="4:4" x14ac:dyDescent="0.3">
      <c r="D2226" s="2"/>
    </row>
    <row r="2227" spans="4:4" x14ac:dyDescent="0.3">
      <c r="D2227" s="2"/>
    </row>
    <row r="2228" spans="4:4" x14ac:dyDescent="0.3">
      <c r="D2228" s="2"/>
    </row>
    <row r="2229" spans="4:4" x14ac:dyDescent="0.3">
      <c r="D2229" s="2"/>
    </row>
    <row r="2230" spans="4:4" x14ac:dyDescent="0.3">
      <c r="D2230" s="2"/>
    </row>
    <row r="2231" spans="4:4" x14ac:dyDescent="0.3">
      <c r="D2231" s="2"/>
    </row>
    <row r="2232" spans="4:4" x14ac:dyDescent="0.3">
      <c r="D2232" s="2"/>
    </row>
    <row r="2233" spans="4:4" x14ac:dyDescent="0.3">
      <c r="D2233" s="2"/>
    </row>
    <row r="2234" spans="4:4" x14ac:dyDescent="0.3">
      <c r="D2234" s="2"/>
    </row>
    <row r="2235" spans="4:4" x14ac:dyDescent="0.3">
      <c r="D2235" s="2"/>
    </row>
    <row r="2236" spans="4:4" x14ac:dyDescent="0.3">
      <c r="D2236" s="2"/>
    </row>
    <row r="2237" spans="4:4" x14ac:dyDescent="0.3">
      <c r="D2237" s="2"/>
    </row>
    <row r="2238" spans="4:4" x14ac:dyDescent="0.3">
      <c r="D2238" s="2"/>
    </row>
    <row r="2239" spans="4:4" x14ac:dyDescent="0.3">
      <c r="D2239" s="2"/>
    </row>
    <row r="2240" spans="4:4" x14ac:dyDescent="0.3">
      <c r="D2240" s="2"/>
    </row>
    <row r="2241" spans="4:4" x14ac:dyDescent="0.3">
      <c r="D2241" s="2"/>
    </row>
    <row r="2242" spans="4:4" x14ac:dyDescent="0.3">
      <c r="D2242" s="2"/>
    </row>
    <row r="2243" spans="4:4" x14ac:dyDescent="0.3">
      <c r="D2243" s="2"/>
    </row>
    <row r="2244" spans="4:4" x14ac:dyDescent="0.3">
      <c r="D2244" s="2"/>
    </row>
    <row r="2245" spans="4:4" x14ac:dyDescent="0.3">
      <c r="D2245" s="2"/>
    </row>
    <row r="2246" spans="4:4" x14ac:dyDescent="0.3">
      <c r="D2246" s="2"/>
    </row>
    <row r="2247" spans="4:4" x14ac:dyDescent="0.3">
      <c r="D2247" s="2"/>
    </row>
    <row r="2248" spans="4:4" x14ac:dyDescent="0.3">
      <c r="D2248" s="2"/>
    </row>
    <row r="2249" spans="4:4" x14ac:dyDescent="0.3">
      <c r="D2249" s="2"/>
    </row>
    <row r="2250" spans="4:4" x14ac:dyDescent="0.3">
      <c r="D2250" s="2"/>
    </row>
    <row r="2251" spans="4:4" x14ac:dyDescent="0.3">
      <c r="D2251" s="2"/>
    </row>
    <row r="2252" spans="4:4" x14ac:dyDescent="0.3">
      <c r="D2252" s="2"/>
    </row>
    <row r="2253" spans="4:4" x14ac:dyDescent="0.3">
      <c r="D2253" s="2"/>
    </row>
    <row r="2254" spans="4:4" x14ac:dyDescent="0.3">
      <c r="D2254" s="2"/>
    </row>
    <row r="2255" spans="4:4" x14ac:dyDescent="0.3">
      <c r="D2255" s="2"/>
    </row>
    <row r="2256" spans="4:4" x14ac:dyDescent="0.3">
      <c r="D2256" s="2"/>
    </row>
    <row r="2257" spans="4:4" x14ac:dyDescent="0.3">
      <c r="D2257" s="2"/>
    </row>
    <row r="2258" spans="4:4" x14ac:dyDescent="0.3">
      <c r="D2258" s="2"/>
    </row>
    <row r="2259" spans="4:4" x14ac:dyDescent="0.3">
      <c r="D2259" s="2"/>
    </row>
    <row r="2260" spans="4:4" x14ac:dyDescent="0.3">
      <c r="D2260" s="2"/>
    </row>
    <row r="2261" spans="4:4" x14ac:dyDescent="0.3">
      <c r="D2261" s="2"/>
    </row>
    <row r="2262" spans="4:4" x14ac:dyDescent="0.3">
      <c r="D2262" s="2"/>
    </row>
    <row r="2263" spans="4:4" x14ac:dyDescent="0.3">
      <c r="D2263" s="2"/>
    </row>
    <row r="2264" spans="4:4" x14ac:dyDescent="0.3">
      <c r="D2264" s="2"/>
    </row>
    <row r="2265" spans="4:4" x14ac:dyDescent="0.3">
      <c r="D2265" s="2"/>
    </row>
    <row r="2266" spans="4:4" x14ac:dyDescent="0.3">
      <c r="D2266" s="2"/>
    </row>
    <row r="2267" spans="4:4" x14ac:dyDescent="0.3">
      <c r="D2267" s="2"/>
    </row>
    <row r="2268" spans="4:4" x14ac:dyDescent="0.3">
      <c r="D2268" s="2"/>
    </row>
    <row r="2269" spans="4:4" x14ac:dyDescent="0.3">
      <c r="D2269" s="2"/>
    </row>
    <row r="2270" spans="4:4" x14ac:dyDescent="0.3">
      <c r="D2270" s="2"/>
    </row>
    <row r="2271" spans="4:4" x14ac:dyDescent="0.3">
      <c r="D2271" s="2"/>
    </row>
    <row r="2272" spans="4:4" x14ac:dyDescent="0.3">
      <c r="D2272" s="2"/>
    </row>
    <row r="2273" spans="4:4" x14ac:dyDescent="0.3">
      <c r="D2273" s="2"/>
    </row>
    <row r="2274" spans="4:4" x14ac:dyDescent="0.3">
      <c r="D2274" s="2"/>
    </row>
    <row r="2275" spans="4:4" x14ac:dyDescent="0.3">
      <c r="D2275" s="2"/>
    </row>
    <row r="2276" spans="4:4" x14ac:dyDescent="0.3">
      <c r="D2276" s="2"/>
    </row>
    <row r="2277" spans="4:4" x14ac:dyDescent="0.3">
      <c r="D2277" s="2"/>
    </row>
    <row r="2278" spans="4:4" x14ac:dyDescent="0.3">
      <c r="D2278" s="2"/>
    </row>
    <row r="2279" spans="4:4" x14ac:dyDescent="0.3">
      <c r="D2279" s="2"/>
    </row>
    <row r="2280" spans="4:4" x14ac:dyDescent="0.3">
      <c r="D2280" s="2"/>
    </row>
    <row r="2281" spans="4:4" x14ac:dyDescent="0.3">
      <c r="D2281" s="2"/>
    </row>
    <row r="2282" spans="4:4" x14ac:dyDescent="0.3">
      <c r="D2282" s="2"/>
    </row>
    <row r="2283" spans="4:4" x14ac:dyDescent="0.3">
      <c r="D2283" s="2"/>
    </row>
    <row r="2284" spans="4:4" x14ac:dyDescent="0.3">
      <c r="D2284" s="2"/>
    </row>
    <row r="2285" spans="4:4" x14ac:dyDescent="0.3">
      <c r="D2285" s="2"/>
    </row>
    <row r="2286" spans="4:4" x14ac:dyDescent="0.3">
      <c r="D2286" s="2"/>
    </row>
    <row r="2287" spans="4:4" x14ac:dyDescent="0.3">
      <c r="D2287" s="2"/>
    </row>
    <row r="2288" spans="4:4" x14ac:dyDescent="0.3">
      <c r="D2288" s="2"/>
    </row>
    <row r="2289" spans="4:4" x14ac:dyDescent="0.3">
      <c r="D2289" s="2"/>
    </row>
    <row r="2290" spans="4:4" x14ac:dyDescent="0.3">
      <c r="D2290" s="2"/>
    </row>
    <row r="2291" spans="4:4" x14ac:dyDescent="0.3">
      <c r="D2291" s="2"/>
    </row>
    <row r="2292" spans="4:4" x14ac:dyDescent="0.3">
      <c r="D2292" s="2"/>
    </row>
    <row r="2293" spans="4:4" x14ac:dyDescent="0.3">
      <c r="D2293" s="2"/>
    </row>
    <row r="2294" spans="4:4" x14ac:dyDescent="0.3">
      <c r="D2294" s="2"/>
    </row>
    <row r="2295" spans="4:4" x14ac:dyDescent="0.3">
      <c r="D2295" s="2"/>
    </row>
    <row r="2296" spans="4:4" x14ac:dyDescent="0.3">
      <c r="D2296" s="2"/>
    </row>
    <row r="2297" spans="4:4" x14ac:dyDescent="0.3">
      <c r="D2297" s="2"/>
    </row>
    <row r="2298" spans="4:4" x14ac:dyDescent="0.3">
      <c r="D2298" s="2"/>
    </row>
    <row r="2299" spans="4:4" x14ac:dyDescent="0.3">
      <c r="D2299" s="2"/>
    </row>
    <row r="2300" spans="4:4" x14ac:dyDescent="0.3">
      <c r="D2300" s="2"/>
    </row>
    <row r="2301" spans="4:4" x14ac:dyDescent="0.3">
      <c r="D2301" s="2"/>
    </row>
    <row r="2302" spans="4:4" x14ac:dyDescent="0.3">
      <c r="D2302" s="2"/>
    </row>
    <row r="2303" spans="4:4" x14ac:dyDescent="0.3">
      <c r="D2303" s="2"/>
    </row>
    <row r="2304" spans="4:4" x14ac:dyDescent="0.3">
      <c r="D2304" s="2"/>
    </row>
    <row r="2305" spans="4:4" x14ac:dyDescent="0.3">
      <c r="D2305" s="2"/>
    </row>
    <row r="2306" spans="4:4" x14ac:dyDescent="0.3">
      <c r="D2306" s="2"/>
    </row>
    <row r="2307" spans="4:4" x14ac:dyDescent="0.3">
      <c r="D2307" s="2"/>
    </row>
    <row r="2308" spans="4:4" x14ac:dyDescent="0.3">
      <c r="D2308" s="2"/>
    </row>
    <row r="2309" spans="4:4" x14ac:dyDescent="0.3">
      <c r="D2309" s="2"/>
    </row>
    <row r="2310" spans="4:4" x14ac:dyDescent="0.3">
      <c r="D2310" s="2"/>
    </row>
    <row r="2311" spans="4:4" x14ac:dyDescent="0.3">
      <c r="D2311" s="2"/>
    </row>
    <row r="2312" spans="4:4" x14ac:dyDescent="0.3">
      <c r="D2312" s="2"/>
    </row>
    <row r="2313" spans="4:4" x14ac:dyDescent="0.3">
      <c r="D2313" s="2"/>
    </row>
    <row r="2314" spans="4:4" x14ac:dyDescent="0.3">
      <c r="D2314" s="2"/>
    </row>
    <row r="2315" spans="4:4" x14ac:dyDescent="0.3">
      <c r="D2315" s="2"/>
    </row>
    <row r="2316" spans="4:4" x14ac:dyDescent="0.3">
      <c r="D2316" s="2"/>
    </row>
    <row r="2317" spans="4:4" x14ac:dyDescent="0.3">
      <c r="D2317" s="2"/>
    </row>
    <row r="2318" spans="4:4" x14ac:dyDescent="0.3">
      <c r="D2318" s="2"/>
    </row>
    <row r="2319" spans="4:4" x14ac:dyDescent="0.3">
      <c r="D2319" s="2"/>
    </row>
    <row r="2320" spans="4:4" x14ac:dyDescent="0.3">
      <c r="D2320" s="2"/>
    </row>
    <row r="2321" spans="4:4" x14ac:dyDescent="0.3">
      <c r="D2321" s="2"/>
    </row>
    <row r="2322" spans="4:4" x14ac:dyDescent="0.3">
      <c r="D2322" s="2"/>
    </row>
    <row r="2323" spans="4:4" x14ac:dyDescent="0.3">
      <c r="D2323" s="2"/>
    </row>
    <row r="2324" spans="4:4" x14ac:dyDescent="0.3">
      <c r="D2324" s="2"/>
    </row>
    <row r="2325" spans="4:4" x14ac:dyDescent="0.3">
      <c r="D2325" s="2"/>
    </row>
    <row r="2326" spans="4:4" x14ac:dyDescent="0.3">
      <c r="D2326" s="2"/>
    </row>
    <row r="2327" spans="4:4" x14ac:dyDescent="0.3">
      <c r="D2327" s="2"/>
    </row>
    <row r="2328" spans="4:4" x14ac:dyDescent="0.3">
      <c r="D2328" s="2"/>
    </row>
    <row r="2329" spans="4:4" x14ac:dyDescent="0.3">
      <c r="D2329" s="2"/>
    </row>
    <row r="2330" spans="4:4" x14ac:dyDescent="0.3">
      <c r="D2330" s="2"/>
    </row>
    <row r="2331" spans="4:4" x14ac:dyDescent="0.3">
      <c r="D2331" s="2"/>
    </row>
    <row r="2332" spans="4:4" x14ac:dyDescent="0.3">
      <c r="D2332" s="2"/>
    </row>
    <row r="2333" spans="4:4" x14ac:dyDescent="0.3">
      <c r="D2333" s="2"/>
    </row>
    <row r="2334" spans="4:4" x14ac:dyDescent="0.3">
      <c r="D2334" s="2"/>
    </row>
    <row r="2335" spans="4:4" x14ac:dyDescent="0.3">
      <c r="D2335" s="2"/>
    </row>
    <row r="2336" spans="4:4" x14ac:dyDescent="0.3">
      <c r="D2336" s="2"/>
    </row>
    <row r="2337" spans="4:4" x14ac:dyDescent="0.3">
      <c r="D2337" s="2"/>
    </row>
    <row r="2338" spans="4:4" x14ac:dyDescent="0.3">
      <c r="D2338" s="2"/>
    </row>
    <row r="2339" spans="4:4" x14ac:dyDescent="0.3">
      <c r="D2339" s="2"/>
    </row>
    <row r="2340" spans="4:4" x14ac:dyDescent="0.3">
      <c r="D2340" s="2"/>
    </row>
    <row r="2341" spans="4:4" x14ac:dyDescent="0.3">
      <c r="D2341" s="2"/>
    </row>
    <row r="2342" spans="4:4" x14ac:dyDescent="0.3">
      <c r="D2342" s="2"/>
    </row>
    <row r="2343" spans="4:4" x14ac:dyDescent="0.3">
      <c r="D2343" s="2"/>
    </row>
    <row r="2344" spans="4:4" x14ac:dyDescent="0.3">
      <c r="D2344" s="2"/>
    </row>
    <row r="2345" spans="4:4" x14ac:dyDescent="0.3">
      <c r="D2345" s="2"/>
    </row>
    <row r="2346" spans="4:4" x14ac:dyDescent="0.3">
      <c r="D2346" s="2"/>
    </row>
    <row r="2347" spans="4:4" x14ac:dyDescent="0.3">
      <c r="D2347" s="2"/>
    </row>
    <row r="2348" spans="4:4" x14ac:dyDescent="0.3">
      <c r="D2348" s="2"/>
    </row>
    <row r="2349" spans="4:4" x14ac:dyDescent="0.3">
      <c r="D2349" s="2"/>
    </row>
    <row r="2350" spans="4:4" x14ac:dyDescent="0.3">
      <c r="D2350" s="2"/>
    </row>
    <row r="2351" spans="4:4" x14ac:dyDescent="0.3">
      <c r="D2351" s="2"/>
    </row>
    <row r="2352" spans="4:4" x14ac:dyDescent="0.3">
      <c r="D2352" s="2"/>
    </row>
    <row r="2353" spans="4:4" x14ac:dyDescent="0.3">
      <c r="D2353" s="2"/>
    </row>
    <row r="2354" spans="4:4" x14ac:dyDescent="0.3">
      <c r="D2354" s="2"/>
    </row>
    <row r="2355" spans="4:4" x14ac:dyDescent="0.3">
      <c r="D2355" s="2"/>
    </row>
    <row r="2356" spans="4:4" x14ac:dyDescent="0.3">
      <c r="D2356" s="2"/>
    </row>
    <row r="2357" spans="4:4" x14ac:dyDescent="0.3">
      <c r="D2357" s="2"/>
    </row>
    <row r="2358" spans="4:4" x14ac:dyDescent="0.3">
      <c r="D2358" s="2"/>
    </row>
    <row r="2359" spans="4:4" x14ac:dyDescent="0.3">
      <c r="D2359" s="2"/>
    </row>
    <row r="2360" spans="4:4" x14ac:dyDescent="0.3">
      <c r="D2360" s="2"/>
    </row>
    <row r="2361" spans="4:4" x14ac:dyDescent="0.3">
      <c r="D2361" s="2"/>
    </row>
    <row r="2362" spans="4:4" x14ac:dyDescent="0.3">
      <c r="D2362" s="2"/>
    </row>
    <row r="2363" spans="4:4" x14ac:dyDescent="0.3">
      <c r="D2363" s="2"/>
    </row>
    <row r="2364" spans="4:4" x14ac:dyDescent="0.3">
      <c r="D2364" s="2"/>
    </row>
    <row r="2365" spans="4:4" x14ac:dyDescent="0.3">
      <c r="D2365" s="2"/>
    </row>
    <row r="2366" spans="4:4" x14ac:dyDescent="0.3">
      <c r="D2366" s="2"/>
    </row>
    <row r="2367" spans="4:4" x14ac:dyDescent="0.3">
      <c r="D2367" s="2"/>
    </row>
    <row r="2368" spans="4:4" x14ac:dyDescent="0.3">
      <c r="D2368" s="2"/>
    </row>
    <row r="2369" spans="4:4" x14ac:dyDescent="0.3">
      <c r="D2369" s="2"/>
    </row>
    <row r="2370" spans="4:4" x14ac:dyDescent="0.3">
      <c r="D2370" s="2"/>
    </row>
    <row r="2371" spans="4:4" x14ac:dyDescent="0.3">
      <c r="D2371" s="2"/>
    </row>
    <row r="2372" spans="4:4" x14ac:dyDescent="0.3">
      <c r="D2372" s="2"/>
    </row>
    <row r="2373" spans="4:4" x14ac:dyDescent="0.3">
      <c r="D2373" s="2"/>
    </row>
    <row r="2374" spans="4:4" x14ac:dyDescent="0.3">
      <c r="D2374" s="2"/>
    </row>
    <row r="2375" spans="4:4" x14ac:dyDescent="0.3">
      <c r="D2375" s="2"/>
    </row>
    <row r="2376" spans="4:4" x14ac:dyDescent="0.3">
      <c r="D2376" s="2"/>
    </row>
    <row r="2377" spans="4:4" x14ac:dyDescent="0.3">
      <c r="D2377" s="2"/>
    </row>
    <row r="2378" spans="4:4" x14ac:dyDescent="0.3">
      <c r="D2378" s="2"/>
    </row>
    <row r="2379" spans="4:4" x14ac:dyDescent="0.3">
      <c r="D2379" s="2"/>
    </row>
    <row r="2380" spans="4:4" x14ac:dyDescent="0.3">
      <c r="D2380" s="2"/>
    </row>
    <row r="2381" spans="4:4" x14ac:dyDescent="0.3">
      <c r="D2381" s="2"/>
    </row>
    <row r="2382" spans="4:4" x14ac:dyDescent="0.3">
      <c r="D2382" s="2"/>
    </row>
    <row r="2383" spans="4:4" x14ac:dyDescent="0.3">
      <c r="D2383" s="2"/>
    </row>
    <row r="2384" spans="4:4" x14ac:dyDescent="0.3">
      <c r="D2384" s="2"/>
    </row>
    <row r="2385" spans="4:4" x14ac:dyDescent="0.3">
      <c r="D2385" s="2"/>
    </row>
    <row r="2386" spans="4:4" x14ac:dyDescent="0.3">
      <c r="D2386" s="2"/>
    </row>
    <row r="2387" spans="4:4" x14ac:dyDescent="0.3">
      <c r="D2387" s="2"/>
    </row>
    <row r="2388" spans="4:4" x14ac:dyDescent="0.3">
      <c r="D2388" s="2"/>
    </row>
    <row r="2389" spans="4:4" x14ac:dyDescent="0.3">
      <c r="D2389" s="2"/>
    </row>
    <row r="2390" spans="4:4" x14ac:dyDescent="0.3">
      <c r="D2390" s="2"/>
    </row>
    <row r="2391" spans="4:4" x14ac:dyDescent="0.3">
      <c r="D2391" s="2"/>
    </row>
    <row r="2392" spans="4:4" x14ac:dyDescent="0.3">
      <c r="D2392" s="2"/>
    </row>
    <row r="2393" spans="4:4" x14ac:dyDescent="0.3">
      <c r="D2393" s="2"/>
    </row>
    <row r="2394" spans="4:4" x14ac:dyDescent="0.3">
      <c r="D2394" s="2"/>
    </row>
    <row r="2395" spans="4:4" x14ac:dyDescent="0.3">
      <c r="D2395" s="2"/>
    </row>
    <row r="2396" spans="4:4" x14ac:dyDescent="0.3">
      <c r="D2396" s="2"/>
    </row>
    <row r="2397" spans="4:4" x14ac:dyDescent="0.3">
      <c r="D2397" s="2"/>
    </row>
    <row r="2398" spans="4:4" x14ac:dyDescent="0.3">
      <c r="D2398" s="2"/>
    </row>
    <row r="2399" spans="4:4" x14ac:dyDescent="0.3">
      <c r="D2399" s="2"/>
    </row>
    <row r="2400" spans="4:4" x14ac:dyDescent="0.3">
      <c r="D2400" s="2"/>
    </row>
    <row r="2401" spans="4:4" x14ac:dyDescent="0.3">
      <c r="D2401" s="2"/>
    </row>
    <row r="2402" spans="4:4" x14ac:dyDescent="0.3">
      <c r="D2402" s="2"/>
    </row>
    <row r="2403" spans="4:4" x14ac:dyDescent="0.3">
      <c r="D2403" s="2"/>
    </row>
    <row r="2404" spans="4:4" x14ac:dyDescent="0.3">
      <c r="D2404" s="2"/>
    </row>
    <row r="2405" spans="4:4" x14ac:dyDescent="0.3">
      <c r="D2405" s="2"/>
    </row>
    <row r="2406" spans="4:4" x14ac:dyDescent="0.3">
      <c r="D2406" s="2"/>
    </row>
    <row r="2407" spans="4:4" x14ac:dyDescent="0.3">
      <c r="D2407" s="2"/>
    </row>
    <row r="2408" spans="4:4" x14ac:dyDescent="0.3">
      <c r="D2408" s="2"/>
    </row>
    <row r="2409" spans="4:4" x14ac:dyDescent="0.3">
      <c r="D2409" s="2"/>
    </row>
    <row r="2410" spans="4:4" x14ac:dyDescent="0.3">
      <c r="D2410" s="2"/>
    </row>
    <row r="2411" spans="4:4" x14ac:dyDescent="0.3">
      <c r="D2411" s="2"/>
    </row>
    <row r="2412" spans="4:4" x14ac:dyDescent="0.3">
      <c r="D2412" s="2"/>
    </row>
    <row r="2413" spans="4:4" x14ac:dyDescent="0.3">
      <c r="D2413" s="2"/>
    </row>
    <row r="2414" spans="4:4" x14ac:dyDescent="0.3">
      <c r="D2414" s="2"/>
    </row>
    <row r="2415" spans="4:4" x14ac:dyDescent="0.3">
      <c r="D2415" s="2"/>
    </row>
    <row r="2416" spans="4:4" x14ac:dyDescent="0.3">
      <c r="D2416" s="2"/>
    </row>
    <row r="2417" spans="4:4" x14ac:dyDescent="0.3">
      <c r="D2417" s="2"/>
    </row>
    <row r="2418" spans="4:4" x14ac:dyDescent="0.3">
      <c r="D2418" s="2"/>
    </row>
    <row r="2419" spans="4:4" x14ac:dyDescent="0.3">
      <c r="D2419" s="2"/>
    </row>
    <row r="2420" spans="4:4" x14ac:dyDescent="0.3">
      <c r="D2420" s="2"/>
    </row>
    <row r="2421" spans="4:4" x14ac:dyDescent="0.3">
      <c r="D2421" s="2"/>
    </row>
    <row r="2422" spans="4:4" x14ac:dyDescent="0.3">
      <c r="D2422" s="2"/>
    </row>
    <row r="2423" spans="4:4" x14ac:dyDescent="0.3">
      <c r="D2423" s="2"/>
    </row>
    <row r="2424" spans="4:4" x14ac:dyDescent="0.3">
      <c r="D2424" s="2"/>
    </row>
    <row r="2425" spans="4:4" x14ac:dyDescent="0.3">
      <c r="D2425" s="2"/>
    </row>
    <row r="2426" spans="4:4" x14ac:dyDescent="0.3">
      <c r="D2426" s="2"/>
    </row>
    <row r="2427" spans="4:4" x14ac:dyDescent="0.3">
      <c r="D2427" s="2"/>
    </row>
    <row r="2428" spans="4:4" x14ac:dyDescent="0.3">
      <c r="D2428" s="2"/>
    </row>
    <row r="2429" spans="4:4" x14ac:dyDescent="0.3">
      <c r="D2429" s="2"/>
    </row>
    <row r="2430" spans="4:4" x14ac:dyDescent="0.3">
      <c r="D2430" s="2"/>
    </row>
    <row r="2431" spans="4:4" x14ac:dyDescent="0.3">
      <c r="D2431" s="2"/>
    </row>
    <row r="2432" spans="4:4" x14ac:dyDescent="0.3">
      <c r="D2432" s="2"/>
    </row>
    <row r="2433" spans="4:4" x14ac:dyDescent="0.3">
      <c r="D2433" s="2"/>
    </row>
    <row r="2434" spans="4:4" x14ac:dyDescent="0.3">
      <c r="D2434" s="2"/>
    </row>
    <row r="2435" spans="4:4" x14ac:dyDescent="0.3">
      <c r="D2435" s="2"/>
    </row>
    <row r="2436" spans="4:4" x14ac:dyDescent="0.3">
      <c r="D2436" s="2"/>
    </row>
    <row r="2437" spans="4:4" x14ac:dyDescent="0.3">
      <c r="D2437" s="2"/>
    </row>
    <row r="2438" spans="4:4" x14ac:dyDescent="0.3">
      <c r="D2438" s="2"/>
    </row>
    <row r="2439" spans="4:4" x14ac:dyDescent="0.3">
      <c r="D2439" s="2"/>
    </row>
    <row r="2440" spans="4:4" x14ac:dyDescent="0.3">
      <c r="D2440" s="2"/>
    </row>
    <row r="2441" spans="4:4" x14ac:dyDescent="0.3">
      <c r="D2441" s="2"/>
    </row>
    <row r="2442" spans="4:4" x14ac:dyDescent="0.3">
      <c r="D2442" s="2"/>
    </row>
    <row r="2443" spans="4:4" x14ac:dyDescent="0.3">
      <c r="D2443" s="2"/>
    </row>
    <row r="2444" spans="4:4" x14ac:dyDescent="0.3">
      <c r="D2444" s="2"/>
    </row>
    <row r="2445" spans="4:4" x14ac:dyDescent="0.3">
      <c r="D2445" s="2"/>
    </row>
    <row r="2446" spans="4:4" x14ac:dyDescent="0.3">
      <c r="D2446" s="2"/>
    </row>
    <row r="2447" spans="4:4" x14ac:dyDescent="0.3">
      <c r="D2447" s="2"/>
    </row>
    <row r="2448" spans="4:4" x14ac:dyDescent="0.3">
      <c r="D2448" s="2"/>
    </row>
    <row r="2449" spans="4:4" x14ac:dyDescent="0.3">
      <c r="D2449" s="2"/>
    </row>
    <row r="2450" spans="4:4" x14ac:dyDescent="0.3">
      <c r="D2450" s="2"/>
    </row>
    <row r="2451" spans="4:4" x14ac:dyDescent="0.3">
      <c r="D2451" s="2"/>
    </row>
    <row r="2452" spans="4:4" x14ac:dyDescent="0.3">
      <c r="D2452" s="2"/>
    </row>
    <row r="2453" spans="4:4" x14ac:dyDescent="0.3">
      <c r="D2453" s="2"/>
    </row>
    <row r="2454" spans="4:4" x14ac:dyDescent="0.3">
      <c r="D2454" s="2"/>
    </row>
    <row r="2455" spans="4:4" x14ac:dyDescent="0.3">
      <c r="D2455" s="2"/>
    </row>
    <row r="2456" spans="4:4" x14ac:dyDescent="0.3">
      <c r="D2456" s="2"/>
    </row>
    <row r="2457" spans="4:4" x14ac:dyDescent="0.3">
      <c r="D2457" s="2"/>
    </row>
    <row r="2458" spans="4:4" x14ac:dyDescent="0.3">
      <c r="D2458" s="2"/>
    </row>
    <row r="2459" spans="4:4" x14ac:dyDescent="0.3">
      <c r="D2459" s="2"/>
    </row>
    <row r="2460" spans="4:4" x14ac:dyDescent="0.3">
      <c r="D2460" s="2"/>
    </row>
    <row r="2461" spans="4:4" x14ac:dyDescent="0.3">
      <c r="D2461" s="2"/>
    </row>
    <row r="2462" spans="4:4" x14ac:dyDescent="0.3">
      <c r="D2462" s="2"/>
    </row>
    <row r="2463" spans="4:4" x14ac:dyDescent="0.3">
      <c r="D2463" s="2"/>
    </row>
    <row r="2464" spans="4:4" x14ac:dyDescent="0.3">
      <c r="D2464" s="2"/>
    </row>
    <row r="2465" spans="4:4" x14ac:dyDescent="0.3">
      <c r="D2465" s="2"/>
    </row>
    <row r="2466" spans="4:4" x14ac:dyDescent="0.3">
      <c r="D2466" s="2"/>
    </row>
    <row r="2467" spans="4:4" x14ac:dyDescent="0.3">
      <c r="D2467" s="2"/>
    </row>
    <row r="2468" spans="4:4" x14ac:dyDescent="0.3">
      <c r="D2468" s="2"/>
    </row>
    <row r="2469" spans="4:4" x14ac:dyDescent="0.3">
      <c r="D2469" s="2"/>
    </row>
    <row r="2470" spans="4:4" x14ac:dyDescent="0.3">
      <c r="D2470" s="2"/>
    </row>
    <row r="2471" spans="4:4" x14ac:dyDescent="0.3">
      <c r="D2471" s="2"/>
    </row>
    <row r="2472" spans="4:4" x14ac:dyDescent="0.3">
      <c r="D2472" s="2"/>
    </row>
    <row r="2473" spans="4:4" x14ac:dyDescent="0.3">
      <c r="D2473" s="2"/>
    </row>
    <row r="2474" spans="4:4" x14ac:dyDescent="0.3">
      <c r="D2474" s="2"/>
    </row>
    <row r="2475" spans="4:4" x14ac:dyDescent="0.3">
      <c r="D2475" s="2"/>
    </row>
    <row r="2476" spans="4:4" x14ac:dyDescent="0.3">
      <c r="D2476" s="2"/>
    </row>
    <row r="2477" spans="4:4" x14ac:dyDescent="0.3">
      <c r="D2477" s="2"/>
    </row>
    <row r="2478" spans="4:4" x14ac:dyDescent="0.3">
      <c r="D2478" s="2"/>
    </row>
    <row r="2479" spans="4:4" x14ac:dyDescent="0.3">
      <c r="D2479" s="2"/>
    </row>
    <row r="2480" spans="4:4" x14ac:dyDescent="0.3">
      <c r="D2480" s="2"/>
    </row>
    <row r="2481" spans="4:4" x14ac:dyDescent="0.3">
      <c r="D2481" s="2"/>
    </row>
    <row r="2482" spans="4:4" x14ac:dyDescent="0.3">
      <c r="D2482" s="2"/>
    </row>
    <row r="2483" spans="4:4" x14ac:dyDescent="0.3">
      <c r="D2483" s="2"/>
    </row>
    <row r="2484" spans="4:4" x14ac:dyDescent="0.3">
      <c r="D2484" s="2"/>
    </row>
    <row r="2485" spans="4:4" x14ac:dyDescent="0.3">
      <c r="D2485" s="2"/>
    </row>
    <row r="2486" spans="4:4" x14ac:dyDescent="0.3">
      <c r="D2486" s="2"/>
    </row>
    <row r="2487" spans="4:4" x14ac:dyDescent="0.3">
      <c r="D2487" s="2"/>
    </row>
    <row r="2488" spans="4:4" x14ac:dyDescent="0.3">
      <c r="D2488" s="2"/>
    </row>
    <row r="2489" spans="4:4" x14ac:dyDescent="0.3">
      <c r="D2489" s="2"/>
    </row>
    <row r="2490" spans="4:4" x14ac:dyDescent="0.3">
      <c r="D2490" s="2"/>
    </row>
    <row r="2491" spans="4:4" x14ac:dyDescent="0.3">
      <c r="D2491" s="2"/>
    </row>
    <row r="2492" spans="4:4" x14ac:dyDescent="0.3">
      <c r="D2492" s="2"/>
    </row>
    <row r="2493" spans="4:4" x14ac:dyDescent="0.3">
      <c r="D2493" s="2"/>
    </row>
    <row r="2494" spans="4:4" x14ac:dyDescent="0.3">
      <c r="D2494" s="2"/>
    </row>
    <row r="2495" spans="4:4" x14ac:dyDescent="0.3">
      <c r="D2495" s="2"/>
    </row>
    <row r="2496" spans="4:4" x14ac:dyDescent="0.3">
      <c r="D2496" s="2"/>
    </row>
    <row r="2497" spans="4:4" x14ac:dyDescent="0.3">
      <c r="D2497" s="2"/>
    </row>
    <row r="2498" spans="4:4" x14ac:dyDescent="0.3">
      <c r="D2498" s="2"/>
    </row>
    <row r="2499" spans="4:4" x14ac:dyDescent="0.3">
      <c r="D2499" s="2"/>
    </row>
    <row r="2500" spans="4:4" x14ac:dyDescent="0.3">
      <c r="D2500" s="2"/>
    </row>
    <row r="2501" spans="4:4" x14ac:dyDescent="0.3">
      <c r="D2501" s="2"/>
    </row>
    <row r="2502" spans="4:4" x14ac:dyDescent="0.3">
      <c r="D2502" s="2"/>
    </row>
    <row r="2503" spans="4:4" x14ac:dyDescent="0.3">
      <c r="D2503" s="2"/>
    </row>
    <row r="2504" spans="4:4" x14ac:dyDescent="0.3">
      <c r="D2504" s="2"/>
    </row>
    <row r="2505" spans="4:4" x14ac:dyDescent="0.3">
      <c r="D2505" s="2"/>
    </row>
    <row r="2506" spans="4:4" x14ac:dyDescent="0.3">
      <c r="D2506" s="2"/>
    </row>
    <row r="2507" spans="4:4" x14ac:dyDescent="0.3">
      <c r="D2507" s="2"/>
    </row>
    <row r="2508" spans="4:4" x14ac:dyDescent="0.3">
      <c r="D2508" s="2"/>
    </row>
    <row r="2509" spans="4:4" x14ac:dyDescent="0.3">
      <c r="D2509" s="2"/>
    </row>
    <row r="2510" spans="4:4" x14ac:dyDescent="0.3">
      <c r="D2510" s="2"/>
    </row>
    <row r="2511" spans="4:4" x14ac:dyDescent="0.3">
      <c r="D2511" s="2"/>
    </row>
    <row r="2512" spans="4:4" x14ac:dyDescent="0.3">
      <c r="D2512" s="2"/>
    </row>
    <row r="2513" spans="4:4" x14ac:dyDescent="0.3">
      <c r="D2513" s="2"/>
    </row>
    <row r="2514" spans="4:4" x14ac:dyDescent="0.3">
      <c r="D2514" s="2"/>
    </row>
    <row r="2515" spans="4:4" x14ac:dyDescent="0.3">
      <c r="D2515" s="2"/>
    </row>
    <row r="2516" spans="4:4" x14ac:dyDescent="0.3">
      <c r="D2516" s="2"/>
    </row>
    <row r="2517" spans="4:4" x14ac:dyDescent="0.3">
      <c r="D2517" s="2"/>
    </row>
    <row r="2518" spans="4:4" x14ac:dyDescent="0.3">
      <c r="D2518" s="2"/>
    </row>
    <row r="2519" spans="4:4" x14ac:dyDescent="0.3">
      <c r="D2519" s="2"/>
    </row>
    <row r="2520" spans="4:4" x14ac:dyDescent="0.3">
      <c r="D2520" s="2"/>
    </row>
    <row r="2521" spans="4:4" x14ac:dyDescent="0.3">
      <c r="D2521" s="2"/>
    </row>
    <row r="2522" spans="4:4" x14ac:dyDescent="0.3">
      <c r="D2522" s="2"/>
    </row>
    <row r="2523" spans="4:4" x14ac:dyDescent="0.3">
      <c r="D2523" s="2"/>
    </row>
    <row r="2524" spans="4:4" x14ac:dyDescent="0.3">
      <c r="D2524" s="2"/>
    </row>
    <row r="2525" spans="4:4" x14ac:dyDescent="0.3">
      <c r="D2525" s="2"/>
    </row>
    <row r="2526" spans="4:4" x14ac:dyDescent="0.3">
      <c r="D2526" s="2"/>
    </row>
    <row r="2527" spans="4:4" x14ac:dyDescent="0.3">
      <c r="D2527" s="2"/>
    </row>
    <row r="2528" spans="4:4" x14ac:dyDescent="0.3">
      <c r="D2528" s="2"/>
    </row>
    <row r="2529" spans="4:4" x14ac:dyDescent="0.3">
      <c r="D2529" s="2"/>
    </row>
    <row r="2530" spans="4:4" x14ac:dyDescent="0.3">
      <c r="D2530" s="2"/>
    </row>
    <row r="2531" spans="4:4" x14ac:dyDescent="0.3">
      <c r="D2531" s="2"/>
    </row>
    <row r="2532" spans="4:4" x14ac:dyDescent="0.3">
      <c r="D2532" s="2"/>
    </row>
    <row r="2533" spans="4:4" x14ac:dyDescent="0.3">
      <c r="D2533" s="2"/>
    </row>
    <row r="2534" spans="4:4" x14ac:dyDescent="0.3">
      <c r="D2534" s="2"/>
    </row>
    <row r="2535" spans="4:4" x14ac:dyDescent="0.3">
      <c r="D2535" s="2"/>
    </row>
    <row r="2536" spans="4:4" x14ac:dyDescent="0.3">
      <c r="D2536" s="2"/>
    </row>
    <row r="2537" spans="4:4" x14ac:dyDescent="0.3">
      <c r="D2537" s="2"/>
    </row>
    <row r="2538" spans="4:4" x14ac:dyDescent="0.3">
      <c r="D2538" s="2"/>
    </row>
    <row r="2539" spans="4:4" x14ac:dyDescent="0.3">
      <c r="D2539" s="2"/>
    </row>
    <row r="2540" spans="4:4" x14ac:dyDescent="0.3">
      <c r="D2540" s="2"/>
    </row>
    <row r="2541" spans="4:4" x14ac:dyDescent="0.3">
      <c r="D2541" s="2"/>
    </row>
    <row r="2542" spans="4:4" x14ac:dyDescent="0.3">
      <c r="D2542" s="2"/>
    </row>
    <row r="2543" spans="4:4" x14ac:dyDescent="0.3">
      <c r="D2543" s="2"/>
    </row>
    <row r="2544" spans="4:4" x14ac:dyDescent="0.3">
      <c r="D2544" s="2"/>
    </row>
    <row r="2545" spans="4:4" x14ac:dyDescent="0.3">
      <c r="D2545" s="2"/>
    </row>
    <row r="2546" spans="4:4" x14ac:dyDescent="0.3">
      <c r="D2546" s="2"/>
    </row>
    <row r="2547" spans="4:4" x14ac:dyDescent="0.3">
      <c r="D2547" s="2"/>
    </row>
    <row r="2548" spans="4:4" x14ac:dyDescent="0.3">
      <c r="D2548" s="2"/>
    </row>
    <row r="2549" spans="4:4" x14ac:dyDescent="0.3">
      <c r="D2549" s="2"/>
    </row>
    <row r="2550" spans="4:4" x14ac:dyDescent="0.3">
      <c r="D2550" s="2"/>
    </row>
    <row r="2551" spans="4:4" x14ac:dyDescent="0.3">
      <c r="D2551" s="2"/>
    </row>
    <row r="2552" spans="4:4" x14ac:dyDescent="0.3">
      <c r="D2552" s="2"/>
    </row>
    <row r="2553" spans="4:4" x14ac:dyDescent="0.3">
      <c r="D2553" s="2"/>
    </row>
    <row r="2554" spans="4:4" x14ac:dyDescent="0.3">
      <c r="D2554" s="2"/>
    </row>
    <row r="2555" spans="4:4" x14ac:dyDescent="0.3">
      <c r="D2555" s="2"/>
    </row>
    <row r="2556" spans="4:4" x14ac:dyDescent="0.3">
      <c r="D2556" s="2"/>
    </row>
    <row r="2557" spans="4:4" x14ac:dyDescent="0.3">
      <c r="D2557" s="2"/>
    </row>
    <row r="2558" spans="4:4" x14ac:dyDescent="0.3">
      <c r="D2558" s="2"/>
    </row>
    <row r="2559" spans="4:4" x14ac:dyDescent="0.3">
      <c r="D2559" s="2"/>
    </row>
    <row r="2560" spans="4:4" x14ac:dyDescent="0.3">
      <c r="D2560" s="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E286-0F0C-48C1-B1DF-87DA25C10EA3}">
  <dimension ref="A1:T38"/>
  <sheetViews>
    <sheetView workbookViewId="0"/>
  </sheetViews>
  <sheetFormatPr defaultRowHeight="14.4" x14ac:dyDescent="0.3"/>
  <cols>
    <col min="1" max="1" width="37.109375" bestFit="1" customWidth="1"/>
    <col min="2" max="16" width="18.5546875" bestFit="1" customWidth="1"/>
    <col min="17" max="20" width="17" bestFit="1" customWidth="1"/>
  </cols>
  <sheetData>
    <row r="1" spans="1:20" x14ac:dyDescent="0.3">
      <c r="A1" s="268" t="s">
        <v>18</v>
      </c>
      <c r="B1" s="268"/>
      <c r="C1" s="268"/>
      <c r="D1" s="268"/>
      <c r="E1" s="268"/>
      <c r="F1" s="268"/>
      <c r="G1" s="268"/>
      <c r="H1" s="268"/>
      <c r="I1" s="268"/>
      <c r="J1" s="268"/>
      <c r="K1" s="268"/>
      <c r="L1" s="268"/>
      <c r="M1" s="268"/>
      <c r="N1" s="268"/>
      <c r="O1" s="268"/>
      <c r="P1" s="268"/>
      <c r="Q1" s="268"/>
      <c r="R1" s="268"/>
      <c r="S1" s="268"/>
      <c r="T1" s="268"/>
    </row>
    <row r="2" spans="1:20" x14ac:dyDescent="0.3">
      <c r="A2" t="s">
        <v>325</v>
      </c>
      <c r="B2" t="s">
        <v>326</v>
      </c>
    </row>
    <row r="3" spans="1:20" x14ac:dyDescent="0.3">
      <c r="A3" t="s">
        <v>327</v>
      </c>
      <c r="B3" t="s">
        <v>328</v>
      </c>
    </row>
    <row r="4" spans="1:20" x14ac:dyDescent="0.3">
      <c r="A4" t="s">
        <v>335</v>
      </c>
      <c r="B4" s="243" t="s">
        <v>336</v>
      </c>
      <c r="C4" s="243"/>
      <c r="D4" s="243"/>
      <c r="E4" s="243"/>
      <c r="F4" s="243"/>
      <c r="G4" s="243"/>
      <c r="H4" s="243"/>
      <c r="I4" s="243"/>
      <c r="J4" s="243"/>
      <c r="K4" s="243"/>
      <c r="L4" s="243"/>
      <c r="M4" s="243"/>
      <c r="N4" s="243"/>
      <c r="O4" s="243"/>
      <c r="P4" s="243"/>
      <c r="Q4" s="243"/>
      <c r="R4" s="243"/>
      <c r="S4" s="243"/>
      <c r="T4" s="243"/>
    </row>
    <row r="5" spans="1:20" x14ac:dyDescent="0.3">
      <c r="A5" t="s">
        <v>337</v>
      </c>
      <c r="B5" s="267">
        <v>45927</v>
      </c>
      <c r="C5" s="267">
        <v>45563</v>
      </c>
      <c r="D5" s="267">
        <v>45199</v>
      </c>
      <c r="E5" s="267">
        <v>44828</v>
      </c>
      <c r="F5" s="267">
        <v>44464</v>
      </c>
      <c r="G5" s="267">
        <v>44100</v>
      </c>
      <c r="H5" s="267">
        <v>43736</v>
      </c>
      <c r="I5" s="267">
        <v>43372</v>
      </c>
      <c r="J5" s="267">
        <v>43008</v>
      </c>
      <c r="K5" s="267">
        <v>42637</v>
      </c>
      <c r="L5" s="267">
        <v>42273</v>
      </c>
      <c r="M5" s="267">
        <v>41909</v>
      </c>
      <c r="N5" s="267">
        <v>41545</v>
      </c>
      <c r="O5" s="267">
        <v>41181</v>
      </c>
      <c r="P5" s="267">
        <v>40810</v>
      </c>
      <c r="Q5" s="267">
        <v>40446</v>
      </c>
      <c r="R5" s="267">
        <v>40082</v>
      </c>
      <c r="S5" s="267">
        <v>39718</v>
      </c>
      <c r="T5" s="267">
        <v>39354</v>
      </c>
    </row>
    <row r="7" spans="1:20" x14ac:dyDescent="0.3">
      <c r="A7" s="261" t="s">
        <v>19</v>
      </c>
      <c r="B7" s="261">
        <v>416161000000</v>
      </c>
      <c r="C7" s="261">
        <v>391035000000</v>
      </c>
      <c r="D7" s="261">
        <v>383285000000</v>
      </c>
      <c r="E7" s="261">
        <v>394328000000</v>
      </c>
      <c r="F7" s="261">
        <v>365817000000</v>
      </c>
      <c r="G7" s="261">
        <v>274515000000</v>
      </c>
      <c r="H7" s="261">
        <v>260174000000</v>
      </c>
      <c r="I7" s="261">
        <v>265595000000</v>
      </c>
      <c r="J7" s="261">
        <v>229234000000</v>
      </c>
      <c r="K7" s="261">
        <v>215639000000</v>
      </c>
      <c r="L7" s="261">
        <v>233715000000</v>
      </c>
      <c r="M7" s="261">
        <v>182795000000</v>
      </c>
      <c r="N7" s="261">
        <v>170910000000</v>
      </c>
      <c r="O7" s="261">
        <v>156508000000</v>
      </c>
      <c r="P7" s="261">
        <v>108249000000</v>
      </c>
      <c r="Q7" s="261">
        <v>65225000000</v>
      </c>
      <c r="R7" s="261">
        <v>42603000000</v>
      </c>
      <c r="S7" s="261">
        <v>32479000000</v>
      </c>
      <c r="T7" s="261">
        <v>24006000000</v>
      </c>
    </row>
    <row r="9" spans="1:20" x14ac:dyDescent="0.3">
      <c r="A9" s="261" t="s">
        <v>151</v>
      </c>
      <c r="B9" s="261">
        <v>220960000000</v>
      </c>
      <c r="C9" s="261">
        <v>210352000000</v>
      </c>
      <c r="D9" s="261">
        <v>214137000000</v>
      </c>
      <c r="E9" s="261">
        <v>223546000000</v>
      </c>
      <c r="F9" s="261">
        <v>212981000000</v>
      </c>
      <c r="G9" s="261">
        <v>169559000000</v>
      </c>
      <c r="H9" s="261">
        <v>161782000000</v>
      </c>
      <c r="I9" s="261">
        <v>163756000000</v>
      </c>
      <c r="J9" s="261">
        <v>141048000000</v>
      </c>
      <c r="K9" s="261">
        <v>131376000000</v>
      </c>
      <c r="L9" s="261">
        <v>140089000000</v>
      </c>
      <c r="M9" s="261">
        <v>112258000000</v>
      </c>
      <c r="N9" s="261">
        <v>106606000000</v>
      </c>
      <c r="O9" s="261">
        <v>87846000000</v>
      </c>
      <c r="P9" s="261">
        <v>64431000000</v>
      </c>
      <c r="Q9" s="261">
        <v>39541000000</v>
      </c>
      <c r="R9" s="261">
        <v>25751000000</v>
      </c>
      <c r="S9" s="261">
        <v>21334000000</v>
      </c>
      <c r="T9" s="261">
        <v>15852000000</v>
      </c>
    </row>
    <row r="10" spans="1:20" x14ac:dyDescent="0.3">
      <c r="A10" s="265" t="s">
        <v>76</v>
      </c>
      <c r="B10" s="263">
        <v>195201000000</v>
      </c>
      <c r="C10" s="263">
        <v>180683000000</v>
      </c>
      <c r="D10" s="263">
        <v>169148000000</v>
      </c>
      <c r="E10" s="263">
        <v>170782000000</v>
      </c>
      <c r="F10" s="263">
        <v>152836000000</v>
      </c>
      <c r="G10" s="263">
        <v>104956000000</v>
      </c>
      <c r="H10" s="263">
        <v>98392000000</v>
      </c>
      <c r="I10" s="263">
        <v>101839000000</v>
      </c>
      <c r="J10" s="263">
        <v>88186000000</v>
      </c>
      <c r="K10" s="263">
        <v>84263000000</v>
      </c>
      <c r="L10" s="263">
        <v>93626000000</v>
      </c>
      <c r="M10" s="263">
        <v>70537000000</v>
      </c>
      <c r="N10" s="263">
        <v>64304000000</v>
      </c>
      <c r="O10" s="263">
        <v>68662000000</v>
      </c>
      <c r="P10" s="263">
        <v>43818000000</v>
      </c>
      <c r="Q10" s="263">
        <v>25684000000</v>
      </c>
      <c r="R10" s="263">
        <v>16852000000</v>
      </c>
      <c r="S10" s="263">
        <v>11145000000</v>
      </c>
      <c r="T10" s="263">
        <v>8154000000</v>
      </c>
    </row>
    <row r="11" spans="1:20" x14ac:dyDescent="0.3">
      <c r="A11" s="79" t="s">
        <v>152</v>
      </c>
      <c r="B11" s="79">
        <v>0.46905164110000003</v>
      </c>
      <c r="C11" s="79">
        <v>0.46206349819999998</v>
      </c>
      <c r="D11" s="79">
        <v>0.4413112958</v>
      </c>
      <c r="E11" s="79">
        <v>0.43309630560000001</v>
      </c>
      <c r="F11" s="79">
        <v>0.41779359630000001</v>
      </c>
      <c r="G11" s="79">
        <v>0.38233247729999997</v>
      </c>
      <c r="H11" s="79">
        <v>0.3781776811</v>
      </c>
      <c r="I11" s="79">
        <v>0.3834371882</v>
      </c>
      <c r="J11" s="79">
        <v>0.38469860490000002</v>
      </c>
      <c r="K11" s="79">
        <v>0.39075955649999999</v>
      </c>
      <c r="L11" s="79">
        <v>0.40059902019999999</v>
      </c>
      <c r="M11" s="79">
        <v>0.38588035780000002</v>
      </c>
      <c r="N11" s="79">
        <v>0.37624480719999998</v>
      </c>
      <c r="O11" s="79">
        <v>0.43871239810000001</v>
      </c>
      <c r="P11" s="79">
        <v>0.40478895879999999</v>
      </c>
      <c r="Q11" s="79">
        <v>0.39377539290000002</v>
      </c>
      <c r="R11" s="79">
        <v>0.39555899820000001</v>
      </c>
      <c r="S11" s="79">
        <v>0.34314480130000002</v>
      </c>
      <c r="T11" s="79">
        <v>0.33966508369999998</v>
      </c>
    </row>
    <row r="13" spans="1:20" x14ac:dyDescent="0.3">
      <c r="A13" s="261" t="s">
        <v>106</v>
      </c>
      <c r="B13" s="261">
        <v>34550000000</v>
      </c>
      <c r="C13" s="261">
        <v>31370000000</v>
      </c>
      <c r="D13" s="261">
        <v>29915000000</v>
      </c>
      <c r="E13" s="261">
        <v>26251000000</v>
      </c>
      <c r="F13" s="261">
        <v>21914000000</v>
      </c>
      <c r="G13" s="261">
        <v>18752000000</v>
      </c>
      <c r="H13" s="261">
        <v>16217000000</v>
      </c>
      <c r="I13" s="261">
        <v>14236000000</v>
      </c>
      <c r="J13" s="261">
        <v>11581000000</v>
      </c>
      <c r="K13" s="261">
        <v>10045000000</v>
      </c>
      <c r="L13" s="261">
        <v>8067000000</v>
      </c>
      <c r="M13" s="261">
        <v>6041000000</v>
      </c>
      <c r="N13" s="261">
        <v>4475000000</v>
      </c>
      <c r="O13" s="261">
        <v>3381000000</v>
      </c>
      <c r="P13" s="261">
        <v>2429000000</v>
      </c>
      <c r="Q13" s="261">
        <v>1782000000</v>
      </c>
      <c r="R13" s="261">
        <v>1333000000</v>
      </c>
      <c r="S13" s="261">
        <v>1109000000</v>
      </c>
      <c r="T13" s="261">
        <v>782000000</v>
      </c>
    </row>
    <row r="14" spans="1:20" x14ac:dyDescent="0.3">
      <c r="A14" s="261" t="s">
        <v>102</v>
      </c>
      <c r="B14" s="261">
        <v>27601000000</v>
      </c>
      <c r="C14" s="261">
        <v>26097000000</v>
      </c>
      <c r="D14" s="261">
        <v>24932000000</v>
      </c>
      <c r="E14" s="261">
        <v>25094000000</v>
      </c>
      <c r="F14" s="261">
        <v>21973000000</v>
      </c>
      <c r="G14" s="261">
        <v>19916000000</v>
      </c>
      <c r="H14" s="261">
        <v>18245000000</v>
      </c>
      <c r="I14" s="261">
        <v>16705000000</v>
      </c>
      <c r="J14" s="261">
        <v>15261000000</v>
      </c>
      <c r="K14" s="261">
        <v>14194000000</v>
      </c>
      <c r="L14" s="261">
        <v>14329000000</v>
      </c>
      <c r="M14" s="261">
        <v>11993000000</v>
      </c>
      <c r="N14" s="261">
        <v>10830000000</v>
      </c>
      <c r="O14" s="261">
        <v>10040000000</v>
      </c>
      <c r="P14" s="261">
        <v>7599000000</v>
      </c>
      <c r="Q14" s="261">
        <v>5517000000</v>
      </c>
      <c r="R14" s="261">
        <v>4149000000</v>
      </c>
      <c r="S14" s="261">
        <v>3761000000</v>
      </c>
      <c r="T14" s="261">
        <v>2963000000</v>
      </c>
    </row>
    <row r="15" spans="1:20" x14ac:dyDescent="0.3">
      <c r="A15" s="261" t="s">
        <v>334</v>
      </c>
      <c r="B15" s="261">
        <v>27601000000</v>
      </c>
      <c r="C15" s="261">
        <v>7458000000</v>
      </c>
      <c r="D15" s="261">
        <v>0</v>
      </c>
      <c r="E15" s="261">
        <v>0</v>
      </c>
      <c r="F15" s="261">
        <v>0</v>
      </c>
      <c r="G15" s="261">
        <v>0</v>
      </c>
      <c r="H15" s="261">
        <v>0</v>
      </c>
      <c r="I15" s="261">
        <v>0</v>
      </c>
      <c r="J15" s="261">
        <v>0</v>
      </c>
      <c r="K15" s="261">
        <v>0</v>
      </c>
      <c r="L15" s="261">
        <v>0</v>
      </c>
      <c r="M15" s="261">
        <v>0</v>
      </c>
      <c r="N15" s="261">
        <v>9730000000</v>
      </c>
      <c r="O15" s="261">
        <v>9040000000</v>
      </c>
      <c r="P15" s="261">
        <v>0</v>
      </c>
      <c r="Q15" s="261">
        <v>0</v>
      </c>
      <c r="R15" s="261">
        <v>0</v>
      </c>
      <c r="S15" s="261">
        <v>0</v>
      </c>
      <c r="T15" s="261">
        <v>0</v>
      </c>
    </row>
    <row r="16" spans="1:20" x14ac:dyDescent="0.3">
      <c r="A16" s="261" t="s">
        <v>333</v>
      </c>
      <c r="B16" s="261">
        <v>0</v>
      </c>
      <c r="C16" s="261">
        <v>18639000000</v>
      </c>
      <c r="D16" s="261">
        <v>0</v>
      </c>
      <c r="E16" s="261">
        <v>0</v>
      </c>
      <c r="F16" s="261">
        <v>0</v>
      </c>
      <c r="G16" s="261">
        <v>0</v>
      </c>
      <c r="H16" s="261">
        <v>0</v>
      </c>
      <c r="I16" s="261">
        <v>0</v>
      </c>
      <c r="J16" s="261">
        <v>0</v>
      </c>
      <c r="K16" s="261">
        <v>0</v>
      </c>
      <c r="L16" s="261">
        <v>0</v>
      </c>
      <c r="M16" s="261">
        <v>0</v>
      </c>
      <c r="N16" s="261">
        <v>1100000000</v>
      </c>
      <c r="O16" s="261">
        <v>1000000000</v>
      </c>
      <c r="P16" s="261">
        <v>0</v>
      </c>
      <c r="Q16" s="261">
        <v>0</v>
      </c>
      <c r="R16" s="261">
        <v>0</v>
      </c>
      <c r="S16" s="261">
        <v>0</v>
      </c>
      <c r="T16" s="261">
        <v>0</v>
      </c>
    </row>
    <row r="17" spans="1:20" x14ac:dyDescent="0.3">
      <c r="A17" s="261" t="s">
        <v>153</v>
      </c>
      <c r="B17" s="261">
        <v>0</v>
      </c>
      <c r="C17" s="261">
        <v>0</v>
      </c>
      <c r="D17" s="261">
        <v>0</v>
      </c>
      <c r="E17" s="261">
        <v>0</v>
      </c>
      <c r="F17" s="261">
        <v>0</v>
      </c>
      <c r="G17" s="261">
        <v>0</v>
      </c>
      <c r="H17" s="261">
        <v>0</v>
      </c>
      <c r="I17" s="261">
        <v>0</v>
      </c>
      <c r="J17" s="261">
        <v>0</v>
      </c>
      <c r="K17" s="261">
        <v>0</v>
      </c>
      <c r="L17" s="261">
        <v>0</v>
      </c>
      <c r="M17" s="261">
        <v>0</v>
      </c>
      <c r="N17" s="261">
        <v>0</v>
      </c>
      <c r="O17" s="261">
        <v>0</v>
      </c>
      <c r="P17" s="261">
        <v>0</v>
      </c>
      <c r="Q17" s="261">
        <v>0</v>
      </c>
      <c r="R17" s="261">
        <v>0</v>
      </c>
      <c r="S17" s="261">
        <v>0</v>
      </c>
      <c r="T17" s="261">
        <v>0</v>
      </c>
    </row>
    <row r="18" spans="1:20" x14ac:dyDescent="0.3">
      <c r="A18" s="265" t="s">
        <v>154</v>
      </c>
      <c r="B18" s="263">
        <v>62151000000</v>
      </c>
      <c r="C18" s="263">
        <v>57467000000</v>
      </c>
      <c r="D18" s="263">
        <v>54847000000</v>
      </c>
      <c r="E18" s="263">
        <v>51345000000</v>
      </c>
      <c r="F18" s="263">
        <v>43887000000</v>
      </c>
      <c r="G18" s="263">
        <v>38668000000</v>
      </c>
      <c r="H18" s="263">
        <v>34462000000</v>
      </c>
      <c r="I18" s="263">
        <v>30941000000</v>
      </c>
      <c r="J18" s="263">
        <v>26842000000</v>
      </c>
      <c r="K18" s="263">
        <v>24239000000</v>
      </c>
      <c r="L18" s="263">
        <v>22396000000</v>
      </c>
      <c r="M18" s="263">
        <v>18034000000</v>
      </c>
      <c r="N18" s="263">
        <v>15305000000</v>
      </c>
      <c r="O18" s="263">
        <v>13421000000</v>
      </c>
      <c r="P18" s="263">
        <v>10028000000</v>
      </c>
      <c r="Q18" s="263">
        <v>7299000000</v>
      </c>
      <c r="R18" s="263">
        <v>5482000000</v>
      </c>
      <c r="S18" s="263">
        <v>4870000000</v>
      </c>
      <c r="T18" s="263">
        <v>3745000000</v>
      </c>
    </row>
    <row r="20" spans="1:20" x14ac:dyDescent="0.3">
      <c r="A20" s="261" t="s">
        <v>155</v>
      </c>
      <c r="B20" s="261">
        <v>283111000000</v>
      </c>
      <c r="C20" s="261">
        <v>267819000000</v>
      </c>
      <c r="D20" s="261">
        <v>268984000000</v>
      </c>
      <c r="E20" s="261">
        <v>274891000000</v>
      </c>
      <c r="F20" s="261">
        <v>256868000000</v>
      </c>
      <c r="G20" s="261">
        <v>208227000000</v>
      </c>
      <c r="H20" s="261">
        <v>196244000000</v>
      </c>
      <c r="I20" s="261">
        <v>194697000000</v>
      </c>
      <c r="J20" s="261">
        <v>167890000000</v>
      </c>
      <c r="K20" s="261">
        <v>155615000000</v>
      </c>
      <c r="L20" s="261">
        <v>162485000000</v>
      </c>
      <c r="M20" s="261">
        <v>130292000000</v>
      </c>
      <c r="N20" s="261">
        <v>121911000000</v>
      </c>
      <c r="O20" s="261">
        <v>101267000000</v>
      </c>
      <c r="P20" s="261">
        <v>74459000000</v>
      </c>
      <c r="Q20" s="261">
        <v>46840000000</v>
      </c>
      <c r="R20" s="261">
        <v>31233000000</v>
      </c>
      <c r="S20" s="261">
        <v>26204000000</v>
      </c>
      <c r="T20" s="261">
        <v>19597000000</v>
      </c>
    </row>
    <row r="21" spans="1:20" x14ac:dyDescent="0.3">
      <c r="A21" s="261" t="s">
        <v>332</v>
      </c>
      <c r="B21" s="261">
        <v>144427000000</v>
      </c>
      <c r="C21" s="261">
        <v>134930000000</v>
      </c>
      <c r="D21" s="261">
        <v>129188000000</v>
      </c>
      <c r="E21" s="261">
        <v>133138000000</v>
      </c>
      <c r="F21" s="261">
        <v>123136000000</v>
      </c>
      <c r="G21" s="261">
        <v>81020000000</v>
      </c>
      <c r="H21" s="261">
        <v>81860000000</v>
      </c>
      <c r="I21" s="261">
        <v>87046000000</v>
      </c>
      <c r="J21" s="261">
        <v>76569000000</v>
      </c>
      <c r="K21" s="261">
        <v>73333000000</v>
      </c>
      <c r="L21" s="261">
        <v>84505000000</v>
      </c>
      <c r="M21" s="261">
        <v>61813000000</v>
      </c>
      <c r="N21" s="261">
        <v>57048000000</v>
      </c>
      <c r="O21" s="261">
        <v>59040000000</v>
      </c>
      <c r="P21" s="261">
        <v>36019000000</v>
      </c>
      <c r="Q21" s="261">
        <v>19412000000</v>
      </c>
      <c r="R21" s="261">
        <v>12029000000</v>
      </c>
      <c r="S21" s="261">
        <v>7304000000</v>
      </c>
      <c r="T21" s="261">
        <v>4724000000</v>
      </c>
    </row>
    <row r="22" spans="1:20" x14ac:dyDescent="0.3">
      <c r="A22" s="79" t="s">
        <v>331</v>
      </c>
      <c r="B22" s="79">
        <v>0.34704597500000001</v>
      </c>
      <c r="C22" s="79">
        <v>0.34505862650000002</v>
      </c>
      <c r="D22" s="79">
        <v>0.33705467210000001</v>
      </c>
      <c r="E22" s="79">
        <v>0.33763263069999999</v>
      </c>
      <c r="F22" s="79">
        <v>0.33660546120000001</v>
      </c>
      <c r="G22" s="79">
        <v>0.29513869920000002</v>
      </c>
      <c r="H22" s="79">
        <v>0.31463559000000002</v>
      </c>
      <c r="I22" s="79">
        <v>0.32773960349999998</v>
      </c>
      <c r="J22" s="79">
        <v>0.33402113119999999</v>
      </c>
      <c r="K22" s="79">
        <v>0.3400729924</v>
      </c>
      <c r="L22" s="79">
        <v>0.36157285579999998</v>
      </c>
      <c r="M22" s="79">
        <v>0.33815476350000001</v>
      </c>
      <c r="N22" s="79">
        <v>0.33378971390000001</v>
      </c>
      <c r="O22" s="79">
        <v>0.37723311269999998</v>
      </c>
      <c r="P22" s="79">
        <v>0.33274210389999997</v>
      </c>
      <c r="Q22" s="79">
        <v>0.29761594479999998</v>
      </c>
      <c r="R22" s="79">
        <v>0.28235100810000002</v>
      </c>
      <c r="S22" s="79">
        <v>0.22488377109999999</v>
      </c>
      <c r="T22" s="79">
        <v>0.19678413729999999</v>
      </c>
    </row>
    <row r="23" spans="1:20" x14ac:dyDescent="0.3">
      <c r="A23" s="261" t="s">
        <v>34</v>
      </c>
      <c r="B23" s="261">
        <v>0</v>
      </c>
      <c r="C23" s="261">
        <v>0</v>
      </c>
      <c r="D23" s="261">
        <v>3933000000</v>
      </c>
      <c r="E23" s="261">
        <v>2931000000</v>
      </c>
      <c r="F23" s="261">
        <v>2645000000</v>
      </c>
      <c r="G23" s="261">
        <v>2873000000</v>
      </c>
      <c r="H23" s="261">
        <v>3576000000</v>
      </c>
      <c r="I23" s="261">
        <v>3240000000</v>
      </c>
      <c r="J23" s="261">
        <v>2323000000</v>
      </c>
      <c r="K23" s="261">
        <v>1456000000</v>
      </c>
      <c r="L23" s="261">
        <v>733000000</v>
      </c>
      <c r="M23" s="261">
        <v>384000000</v>
      </c>
      <c r="N23" s="261">
        <v>136000000</v>
      </c>
      <c r="O23" s="261">
        <v>0</v>
      </c>
      <c r="P23" s="261">
        <v>0</v>
      </c>
      <c r="Q23" s="261">
        <v>0</v>
      </c>
      <c r="R23" s="261">
        <v>0</v>
      </c>
      <c r="S23" s="261">
        <v>0</v>
      </c>
      <c r="T23" s="261">
        <v>0</v>
      </c>
    </row>
    <row r="24" spans="1:20" x14ac:dyDescent="0.3">
      <c r="A24" s="261" t="s">
        <v>157</v>
      </c>
      <c r="B24" s="261">
        <v>11698000000</v>
      </c>
      <c r="C24" s="261">
        <v>11445000000</v>
      </c>
      <c r="D24" s="261">
        <v>11519000000</v>
      </c>
      <c r="E24" s="261">
        <v>11104000000</v>
      </c>
      <c r="F24" s="261">
        <v>11284000000</v>
      </c>
      <c r="G24" s="261">
        <v>11056000000</v>
      </c>
      <c r="H24" s="261">
        <v>12547000000</v>
      </c>
      <c r="I24" s="261">
        <v>10903000000</v>
      </c>
      <c r="J24" s="261">
        <v>10157000000</v>
      </c>
      <c r="K24" s="261">
        <v>10505000000</v>
      </c>
      <c r="L24" s="261">
        <v>11257000000</v>
      </c>
      <c r="M24" s="261">
        <v>7946000000</v>
      </c>
      <c r="N24" s="261">
        <v>6757000000</v>
      </c>
      <c r="O24" s="261">
        <v>3277000000</v>
      </c>
      <c r="P24" s="261">
        <v>1814000000</v>
      </c>
      <c r="Q24" s="261">
        <v>1027000000</v>
      </c>
      <c r="R24" s="261">
        <v>659000000</v>
      </c>
      <c r="S24" s="261">
        <v>409000000</v>
      </c>
      <c r="T24" s="261">
        <v>317000000</v>
      </c>
    </row>
    <row r="25" spans="1:20" x14ac:dyDescent="0.3">
      <c r="A25" s="265" t="s">
        <v>137</v>
      </c>
      <c r="B25" s="264">
        <v>133050000000</v>
      </c>
      <c r="C25" s="264">
        <v>123216000000</v>
      </c>
      <c r="D25" s="264">
        <v>114301000000</v>
      </c>
      <c r="E25" s="264">
        <v>119437000000</v>
      </c>
      <c r="F25" s="264">
        <v>108949000000</v>
      </c>
      <c r="G25" s="264">
        <v>66288000000</v>
      </c>
      <c r="H25" s="264">
        <v>63930000000</v>
      </c>
      <c r="I25" s="264">
        <v>70898000000</v>
      </c>
      <c r="J25" s="264">
        <v>61344000000</v>
      </c>
      <c r="K25" s="264">
        <v>60024000000</v>
      </c>
      <c r="L25" s="264">
        <v>71230000000</v>
      </c>
      <c r="M25" s="264">
        <v>52503000000</v>
      </c>
      <c r="N25" s="264">
        <v>48999000000</v>
      </c>
      <c r="O25" s="264">
        <v>55241000000</v>
      </c>
      <c r="P25" s="264">
        <v>33790000000</v>
      </c>
      <c r="Q25" s="264">
        <v>18385000000</v>
      </c>
      <c r="R25" s="264">
        <v>11370000000</v>
      </c>
      <c r="S25" s="264">
        <v>6275000000</v>
      </c>
      <c r="T25" s="264">
        <v>4409000000</v>
      </c>
    </row>
    <row r="26" spans="1:20" x14ac:dyDescent="0.3">
      <c r="A26" s="79" t="s">
        <v>158</v>
      </c>
      <c r="B26" s="266">
        <v>0.31970799760000002</v>
      </c>
      <c r="C26" s="266">
        <v>0.31510222869999999</v>
      </c>
      <c r="D26" s="266">
        <v>0.29821412269999997</v>
      </c>
      <c r="E26" s="266">
        <v>0.30288744400000001</v>
      </c>
      <c r="F26" s="266">
        <v>0.29782377529999998</v>
      </c>
      <c r="G26" s="266">
        <v>0.24147314349999999</v>
      </c>
      <c r="H26" s="266">
        <v>0.24572017190000001</v>
      </c>
      <c r="I26" s="266">
        <v>0.2669402662</v>
      </c>
      <c r="J26" s="266">
        <v>0.26760428209999998</v>
      </c>
      <c r="K26" s="266">
        <v>0.27835410109999997</v>
      </c>
      <c r="L26" s="266">
        <v>0.3047729072</v>
      </c>
      <c r="M26" s="266">
        <v>0.28722339229999999</v>
      </c>
      <c r="N26" s="266">
        <v>0.28669475160000002</v>
      </c>
      <c r="O26" s="266">
        <v>0.35295959310000002</v>
      </c>
      <c r="P26" s="266">
        <v>0.31215068959999998</v>
      </c>
      <c r="Q26" s="266">
        <v>0.28187044839999997</v>
      </c>
      <c r="R26" s="266">
        <v>0.26688261390000001</v>
      </c>
      <c r="S26" s="266">
        <v>0.19320176110000001</v>
      </c>
      <c r="T26" s="266">
        <v>0.1836624177</v>
      </c>
    </row>
    <row r="28" spans="1:20" x14ac:dyDescent="0.3">
      <c r="A28" s="261" t="s">
        <v>159</v>
      </c>
      <c r="B28" s="261">
        <v>-321000000</v>
      </c>
      <c r="C28" s="261">
        <v>269000000</v>
      </c>
      <c r="D28" s="261">
        <v>-565000000</v>
      </c>
      <c r="E28" s="261">
        <v>-334000000</v>
      </c>
      <c r="F28" s="261">
        <v>258000000</v>
      </c>
      <c r="G28" s="261">
        <v>803000000</v>
      </c>
      <c r="H28" s="261">
        <v>1807000000</v>
      </c>
      <c r="I28" s="261">
        <v>2005000000</v>
      </c>
      <c r="J28" s="261">
        <v>2745000000</v>
      </c>
      <c r="K28" s="261">
        <v>1348000000</v>
      </c>
      <c r="L28" s="261">
        <v>1285000000</v>
      </c>
      <c r="M28" s="261">
        <v>980000000</v>
      </c>
      <c r="N28" s="261">
        <v>1156000000</v>
      </c>
      <c r="O28" s="261">
        <v>522000000</v>
      </c>
      <c r="P28" s="261">
        <v>415000000</v>
      </c>
      <c r="Q28" s="261">
        <v>155000000</v>
      </c>
      <c r="R28" s="261">
        <v>696000000</v>
      </c>
      <c r="S28" s="261">
        <v>620000000</v>
      </c>
      <c r="T28" s="261">
        <v>599000000</v>
      </c>
    </row>
    <row r="29" spans="1:20" x14ac:dyDescent="0.3">
      <c r="A29" s="261" t="s">
        <v>160</v>
      </c>
      <c r="B29" s="261">
        <v>132729000000</v>
      </c>
      <c r="C29" s="261">
        <v>123485000000</v>
      </c>
      <c r="D29" s="261">
        <v>113736000000</v>
      </c>
      <c r="E29" s="261">
        <v>119103000000</v>
      </c>
      <c r="F29" s="261">
        <v>109207000000</v>
      </c>
      <c r="G29" s="261">
        <v>67091000000</v>
      </c>
      <c r="H29" s="261">
        <v>65737000000</v>
      </c>
      <c r="I29" s="261">
        <v>72903000000</v>
      </c>
      <c r="J29" s="261">
        <v>64089000000</v>
      </c>
      <c r="K29" s="261">
        <v>61372000000</v>
      </c>
      <c r="L29" s="261">
        <v>72515000000</v>
      </c>
      <c r="M29" s="261">
        <v>53483000000</v>
      </c>
      <c r="N29" s="261">
        <v>50155000000</v>
      </c>
      <c r="O29" s="261">
        <v>55763000000</v>
      </c>
      <c r="P29" s="261">
        <v>34205000000</v>
      </c>
      <c r="Q29" s="261">
        <v>18540000000</v>
      </c>
      <c r="R29" s="261">
        <v>12066000000</v>
      </c>
      <c r="S29" s="261">
        <v>6895000000</v>
      </c>
      <c r="T29" s="261">
        <v>5008000000</v>
      </c>
    </row>
    <row r="30" spans="1:20" x14ac:dyDescent="0.3">
      <c r="A30" s="262" t="s">
        <v>161</v>
      </c>
      <c r="B30" s="262">
        <v>0.3189366615</v>
      </c>
      <c r="C30" s="262">
        <v>0.3157901467</v>
      </c>
      <c r="D30" s="262">
        <v>0.29674002370000002</v>
      </c>
      <c r="E30" s="262">
        <v>0.30204043330000002</v>
      </c>
      <c r="F30" s="262">
        <v>0.29852904590000001</v>
      </c>
      <c r="G30" s="262">
        <v>0.2443983025</v>
      </c>
      <c r="H30" s="262">
        <v>0.25266552380000001</v>
      </c>
      <c r="I30" s="262">
        <v>0.27448935410000003</v>
      </c>
      <c r="J30" s="262">
        <v>0.27957894550000001</v>
      </c>
      <c r="K30" s="262">
        <v>0.28460528940000002</v>
      </c>
      <c r="L30" s="262">
        <v>0.31027105659999998</v>
      </c>
      <c r="M30" s="262">
        <v>0.29258458929999998</v>
      </c>
      <c r="N30" s="262">
        <v>0.29345854539999999</v>
      </c>
      <c r="O30" s="262">
        <v>0.35629488590000002</v>
      </c>
      <c r="P30" s="262">
        <v>0.31598444329999997</v>
      </c>
      <c r="Q30" s="262">
        <v>0.28424683789999999</v>
      </c>
      <c r="R30" s="262">
        <v>0.28321949159999998</v>
      </c>
      <c r="S30" s="262">
        <v>0.21229101880000001</v>
      </c>
      <c r="T30" s="262">
        <v>0.208614513</v>
      </c>
    </row>
    <row r="31" spans="1:20" x14ac:dyDescent="0.3">
      <c r="A31" s="261" t="s">
        <v>162</v>
      </c>
      <c r="B31" s="261">
        <v>20719000000</v>
      </c>
      <c r="C31" s="261">
        <v>29749000000</v>
      </c>
      <c r="D31" s="261">
        <v>16741000000</v>
      </c>
      <c r="E31" s="261">
        <v>19300000000</v>
      </c>
      <c r="F31" s="261">
        <v>14527000000</v>
      </c>
      <c r="G31" s="261">
        <v>9680000000</v>
      </c>
      <c r="H31" s="261">
        <v>10481000000</v>
      </c>
      <c r="I31" s="261">
        <v>13372000000</v>
      </c>
      <c r="J31" s="261">
        <v>15738000000</v>
      </c>
      <c r="K31" s="261">
        <v>15685000000</v>
      </c>
      <c r="L31" s="261">
        <v>19121000000</v>
      </c>
      <c r="M31" s="261">
        <v>13973000000</v>
      </c>
      <c r="N31" s="261">
        <v>13118000000</v>
      </c>
      <c r="O31" s="261">
        <v>14030000000</v>
      </c>
      <c r="P31" s="261">
        <v>8283000000</v>
      </c>
      <c r="Q31" s="261">
        <v>4527000000</v>
      </c>
      <c r="R31" s="261">
        <v>3831000000</v>
      </c>
      <c r="S31" s="261">
        <v>2061000000</v>
      </c>
      <c r="T31" s="261">
        <v>1512000000</v>
      </c>
    </row>
    <row r="32" spans="1:20" x14ac:dyDescent="0.3">
      <c r="A32" s="265" t="s">
        <v>82</v>
      </c>
      <c r="B32" s="264">
        <v>112010000000</v>
      </c>
      <c r="C32" s="264">
        <v>93736000000</v>
      </c>
      <c r="D32" s="264">
        <v>96995000000</v>
      </c>
      <c r="E32" s="264">
        <v>99803000000</v>
      </c>
      <c r="F32" s="264">
        <v>94680000000</v>
      </c>
      <c r="G32" s="264">
        <v>57411000000</v>
      </c>
      <c r="H32" s="264">
        <v>55256000000</v>
      </c>
      <c r="I32" s="264">
        <v>59531000000</v>
      </c>
      <c r="J32" s="264">
        <v>48351000000</v>
      </c>
      <c r="K32" s="264">
        <v>45687000000</v>
      </c>
      <c r="L32" s="264">
        <v>53394000000</v>
      </c>
      <c r="M32" s="264">
        <v>39510000000</v>
      </c>
      <c r="N32" s="264">
        <v>37037000000</v>
      </c>
      <c r="O32" s="264">
        <v>41733000000</v>
      </c>
      <c r="P32" s="264">
        <v>25922000000</v>
      </c>
      <c r="Q32" s="264">
        <v>14013000000</v>
      </c>
      <c r="R32" s="264">
        <v>8235000000</v>
      </c>
      <c r="S32" s="264">
        <v>4834000000</v>
      </c>
      <c r="T32" s="264">
        <v>3495000000</v>
      </c>
    </row>
    <row r="34" spans="1:20" x14ac:dyDescent="0.3">
      <c r="A34" s="79" t="s">
        <v>163</v>
      </c>
      <c r="B34" s="79">
        <v>0.26915064119999998</v>
      </c>
      <c r="C34" s="79">
        <v>0.2397125577</v>
      </c>
      <c r="D34" s="79">
        <v>0.25306234259999999</v>
      </c>
      <c r="E34" s="79">
        <v>0.25309640709999998</v>
      </c>
      <c r="F34" s="79">
        <v>0.25881793359999999</v>
      </c>
      <c r="G34" s="79">
        <v>0.2091361128</v>
      </c>
      <c r="H34" s="79">
        <v>0.2123809451</v>
      </c>
      <c r="I34" s="79">
        <v>0.2241420207</v>
      </c>
      <c r="J34" s="79">
        <v>0.21092420849999999</v>
      </c>
      <c r="K34" s="79">
        <v>0.21186798309999999</v>
      </c>
      <c r="L34" s="79">
        <v>0.22845773699999999</v>
      </c>
      <c r="M34" s="79">
        <v>0.21614376760000001</v>
      </c>
      <c r="N34" s="79">
        <v>0.21670469840000001</v>
      </c>
      <c r="O34" s="79">
        <v>0.26665090600000002</v>
      </c>
      <c r="P34" s="79">
        <v>0.23946641539999999</v>
      </c>
      <c r="Q34" s="79">
        <v>0.2148409352</v>
      </c>
      <c r="R34" s="79">
        <v>0.19329624670000001</v>
      </c>
      <c r="S34" s="79">
        <v>0.14883463159999999</v>
      </c>
      <c r="T34" s="79">
        <v>0.14558860279999999</v>
      </c>
    </row>
    <row r="35" spans="1:20" x14ac:dyDescent="0.3">
      <c r="A35" s="262" t="s">
        <v>330</v>
      </c>
      <c r="B35" s="262">
        <v>7.49</v>
      </c>
      <c r="C35" s="262">
        <v>6.11</v>
      </c>
      <c r="D35" s="262">
        <v>6.16</v>
      </c>
      <c r="E35" s="262">
        <v>6.15</v>
      </c>
      <c r="F35" s="262">
        <v>5.67</v>
      </c>
      <c r="G35" s="262">
        <v>3.31</v>
      </c>
      <c r="H35" s="262">
        <v>2.99</v>
      </c>
      <c r="I35" s="262">
        <v>3</v>
      </c>
      <c r="J35" s="262">
        <v>2.3199999999999998</v>
      </c>
      <c r="K35" s="262">
        <v>2.09</v>
      </c>
      <c r="L35" s="262">
        <v>2.3199999999999998</v>
      </c>
      <c r="M35" s="262">
        <v>1.62</v>
      </c>
      <c r="N35" s="262">
        <v>1.43</v>
      </c>
      <c r="O35" s="262">
        <v>1.59</v>
      </c>
      <c r="P35" s="262">
        <v>1</v>
      </c>
      <c r="Q35" s="262">
        <v>0.55000000000000004</v>
      </c>
      <c r="R35" s="262">
        <v>0.33</v>
      </c>
      <c r="S35" s="262">
        <v>0.2</v>
      </c>
      <c r="T35" s="262">
        <v>0.14000000000000001</v>
      </c>
    </row>
    <row r="36" spans="1:20" x14ac:dyDescent="0.3">
      <c r="A36" s="262" t="s">
        <v>329</v>
      </c>
      <c r="B36" s="262">
        <v>7.46</v>
      </c>
      <c r="C36" s="262">
        <v>6.08</v>
      </c>
      <c r="D36" s="262">
        <v>6.13</v>
      </c>
      <c r="E36" s="262">
        <v>6.11</v>
      </c>
      <c r="F36" s="262">
        <v>5.61</v>
      </c>
      <c r="G36" s="262">
        <v>3.28</v>
      </c>
      <c r="H36" s="262">
        <v>2.97</v>
      </c>
      <c r="I36" s="262">
        <v>2.98</v>
      </c>
      <c r="J36" s="262">
        <v>2.2999999999999998</v>
      </c>
      <c r="K36" s="262">
        <v>2.08</v>
      </c>
      <c r="L36" s="262">
        <v>2.2999999999999998</v>
      </c>
      <c r="M36" s="262">
        <v>1.61</v>
      </c>
      <c r="N36" s="262">
        <v>1.42</v>
      </c>
      <c r="O36" s="262">
        <v>1.58</v>
      </c>
      <c r="P36" s="262">
        <v>0.99</v>
      </c>
      <c r="Q36" s="262">
        <v>0.54</v>
      </c>
      <c r="R36" s="262">
        <v>0.32</v>
      </c>
      <c r="S36" s="262">
        <v>0.19</v>
      </c>
      <c r="T36" s="262">
        <v>0.14000000000000001</v>
      </c>
    </row>
    <row r="37" spans="1:20" x14ac:dyDescent="0.3">
      <c r="A37" s="261" t="s">
        <v>129</v>
      </c>
      <c r="B37" s="261">
        <v>14948500000</v>
      </c>
      <c r="C37" s="261">
        <v>15343783000</v>
      </c>
      <c r="D37" s="261">
        <v>15744231000</v>
      </c>
      <c r="E37" s="261">
        <v>16215963000</v>
      </c>
      <c r="F37" s="261">
        <v>16701272000</v>
      </c>
      <c r="G37" s="261">
        <v>17352119000</v>
      </c>
      <c r="H37" s="261">
        <v>18471336000</v>
      </c>
      <c r="I37" s="261">
        <v>19821508000</v>
      </c>
      <c r="J37" s="261">
        <v>20868968000</v>
      </c>
      <c r="K37" s="261">
        <v>21883280000</v>
      </c>
      <c r="L37" s="261">
        <v>23013684000</v>
      </c>
      <c r="M37" s="261">
        <v>24342288000</v>
      </c>
      <c r="N37" s="261">
        <v>25909268000</v>
      </c>
      <c r="O37" s="261">
        <v>26174930174</v>
      </c>
      <c r="P37" s="261">
        <v>25879249879</v>
      </c>
      <c r="Q37" s="261">
        <v>25464933464</v>
      </c>
      <c r="R37" s="261">
        <v>25004473004</v>
      </c>
      <c r="S37" s="261">
        <v>24684576000</v>
      </c>
      <c r="T37" s="261">
        <v>24208684208</v>
      </c>
    </row>
    <row r="38" spans="1:20" x14ac:dyDescent="0.3">
      <c r="A38" s="261" t="s">
        <v>143</v>
      </c>
      <c r="B38" s="261">
        <v>15004697000</v>
      </c>
      <c r="C38" s="261">
        <v>15408095000</v>
      </c>
      <c r="D38" s="261">
        <v>15812547000</v>
      </c>
      <c r="E38" s="261">
        <v>16325819000</v>
      </c>
      <c r="F38" s="261">
        <v>16864919000</v>
      </c>
      <c r="G38" s="261">
        <v>17528214000</v>
      </c>
      <c r="H38" s="261">
        <v>18595652000</v>
      </c>
      <c r="I38" s="261">
        <v>20000436000</v>
      </c>
      <c r="J38" s="261">
        <v>21006768000</v>
      </c>
      <c r="K38" s="261">
        <v>22001124000</v>
      </c>
      <c r="L38" s="261">
        <v>23172276000</v>
      </c>
      <c r="M38" s="261">
        <v>24490652000</v>
      </c>
      <c r="N38" s="261">
        <v>26086536000</v>
      </c>
      <c r="O38" s="261">
        <v>26469932000</v>
      </c>
      <c r="P38" s="261">
        <v>26226060000</v>
      </c>
      <c r="Q38" s="261">
        <v>25891961891</v>
      </c>
      <c r="R38" s="261">
        <v>25396165396</v>
      </c>
      <c r="S38" s="261">
        <v>25259892000</v>
      </c>
      <c r="T38" s="261">
        <v>24900176000</v>
      </c>
    </row>
  </sheetData>
  <mergeCells count="1">
    <mergeCell ref="B4:T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3A62-9CB8-43C6-94CE-195C09DB21EB}">
  <dimension ref="A1:T52"/>
  <sheetViews>
    <sheetView tabSelected="1" workbookViewId="0"/>
  </sheetViews>
  <sheetFormatPr defaultRowHeight="14.4" x14ac:dyDescent="0.3"/>
  <cols>
    <col min="1" max="1" width="41" bestFit="1" customWidth="1"/>
    <col min="2" max="16" width="18.5546875" bestFit="1" customWidth="1"/>
    <col min="17" max="17" width="17.6640625" bestFit="1" customWidth="1"/>
    <col min="18" max="18" width="17" bestFit="1" customWidth="1"/>
    <col min="19" max="19" width="17.6640625" bestFit="1" customWidth="1"/>
    <col min="20" max="20" width="17" bestFit="1" customWidth="1"/>
  </cols>
  <sheetData>
    <row r="1" spans="1:20" x14ac:dyDescent="0.3">
      <c r="A1" s="268" t="s">
        <v>223</v>
      </c>
      <c r="B1" s="268"/>
      <c r="C1" s="268"/>
      <c r="D1" s="268"/>
      <c r="E1" s="268"/>
      <c r="F1" s="268"/>
      <c r="G1" s="268"/>
      <c r="H1" s="268"/>
      <c r="I1" s="268"/>
      <c r="J1" s="268"/>
      <c r="K1" s="268"/>
      <c r="L1" s="268"/>
      <c r="M1" s="268"/>
      <c r="N1" s="268"/>
      <c r="O1" s="268"/>
      <c r="P1" s="268"/>
      <c r="Q1" s="268"/>
      <c r="R1" s="268"/>
      <c r="S1" s="268"/>
      <c r="T1" s="268"/>
    </row>
    <row r="2" spans="1:20" x14ac:dyDescent="0.3">
      <c r="A2" t="s">
        <v>325</v>
      </c>
      <c r="B2" t="s">
        <v>326</v>
      </c>
    </row>
    <row r="3" spans="1:20" x14ac:dyDescent="0.3">
      <c r="A3" t="s">
        <v>327</v>
      </c>
      <c r="B3" t="str">
        <f>'AAPL - Income Statement FY'!B3</f>
        <v>USD</v>
      </c>
    </row>
    <row r="4" spans="1:20" x14ac:dyDescent="0.3">
      <c r="A4" t="s">
        <v>335</v>
      </c>
      <c r="B4" s="243" t="s">
        <v>336</v>
      </c>
      <c r="C4" s="243"/>
      <c r="D4" s="243"/>
      <c r="E4" s="243"/>
      <c r="F4" s="243"/>
      <c r="G4" s="243"/>
      <c r="H4" s="243"/>
      <c r="I4" s="243"/>
      <c r="J4" s="243"/>
      <c r="K4" s="243"/>
      <c r="L4" s="243"/>
      <c r="M4" s="243"/>
      <c r="N4" s="243"/>
      <c r="O4" s="243"/>
      <c r="P4" s="243"/>
      <c r="Q4" s="243"/>
      <c r="R4" s="243"/>
      <c r="S4" s="243"/>
      <c r="T4" s="243"/>
    </row>
    <row r="5" spans="1:20" x14ac:dyDescent="0.3">
      <c r="A5" t="s">
        <v>337</v>
      </c>
      <c r="B5" s="267">
        <v>45927</v>
      </c>
      <c r="C5" s="267">
        <v>45563</v>
      </c>
      <c r="D5" s="267">
        <v>45199</v>
      </c>
      <c r="E5" s="267">
        <v>44828</v>
      </c>
      <c r="F5" s="267">
        <v>44464</v>
      </c>
      <c r="G5" s="267">
        <v>44100</v>
      </c>
      <c r="H5" s="267">
        <v>43736</v>
      </c>
      <c r="I5" s="267">
        <v>43372</v>
      </c>
      <c r="J5" s="267">
        <v>43008</v>
      </c>
      <c r="K5" s="267">
        <v>42637</v>
      </c>
      <c r="L5" s="267">
        <v>42273</v>
      </c>
      <c r="M5" s="267">
        <v>41909</v>
      </c>
      <c r="N5" s="267">
        <v>41545</v>
      </c>
      <c r="O5" s="267">
        <v>41181</v>
      </c>
      <c r="P5" s="267">
        <v>40810</v>
      </c>
      <c r="Q5" s="267">
        <v>40446</v>
      </c>
      <c r="R5" s="267">
        <v>40082</v>
      </c>
      <c r="S5" s="267">
        <v>39718</v>
      </c>
      <c r="T5" s="267">
        <v>39354</v>
      </c>
    </row>
    <row r="7" spans="1:20" x14ac:dyDescent="0.3">
      <c r="A7" s="261" t="s">
        <v>100</v>
      </c>
      <c r="B7" s="261">
        <v>35934000000</v>
      </c>
      <c r="C7" s="261">
        <v>29943000000</v>
      </c>
      <c r="D7" s="261">
        <v>29965000000</v>
      </c>
      <c r="E7" s="261">
        <v>23646000000</v>
      </c>
      <c r="F7" s="261">
        <v>34940000000</v>
      </c>
      <c r="G7" s="261">
        <v>38016000000</v>
      </c>
      <c r="H7" s="261">
        <v>48844000000</v>
      </c>
      <c r="I7" s="261">
        <v>25913000000</v>
      </c>
      <c r="J7" s="261">
        <v>20289000000</v>
      </c>
      <c r="K7" s="261">
        <v>20484000000</v>
      </c>
      <c r="L7" s="261">
        <v>21120000000</v>
      </c>
      <c r="M7" s="261">
        <v>13844000000</v>
      </c>
      <c r="N7" s="261">
        <v>14259000000</v>
      </c>
      <c r="O7" s="261">
        <v>10746000000</v>
      </c>
      <c r="P7" s="261">
        <v>9815000000</v>
      </c>
      <c r="Q7" s="261">
        <v>11261000000</v>
      </c>
      <c r="R7" s="261">
        <v>5263000000</v>
      </c>
      <c r="S7" s="261">
        <v>11875000000</v>
      </c>
      <c r="T7" s="261">
        <v>9352000000</v>
      </c>
    </row>
    <row r="8" spans="1:20" x14ac:dyDescent="0.3">
      <c r="A8" s="261" t="s">
        <v>165</v>
      </c>
      <c r="B8" s="261">
        <v>18763000000</v>
      </c>
      <c r="C8" s="261">
        <v>35228000000</v>
      </c>
      <c r="D8" s="261">
        <v>31590000000</v>
      </c>
      <c r="E8" s="261">
        <v>24658000000</v>
      </c>
      <c r="F8" s="261">
        <v>27699000000</v>
      </c>
      <c r="G8" s="261">
        <v>52927000000</v>
      </c>
      <c r="H8" s="261">
        <v>51713000000</v>
      </c>
      <c r="I8" s="261">
        <v>40388000000</v>
      </c>
      <c r="J8" s="261">
        <v>53892000000</v>
      </c>
      <c r="K8" s="261">
        <v>46671000000</v>
      </c>
      <c r="L8" s="261">
        <v>20481000000</v>
      </c>
      <c r="M8" s="261">
        <v>11233000000</v>
      </c>
      <c r="N8" s="261">
        <v>26287000000</v>
      </c>
      <c r="O8" s="261">
        <v>18383000000</v>
      </c>
      <c r="P8" s="261">
        <v>16137000000</v>
      </c>
      <c r="Q8" s="261">
        <v>14359000000</v>
      </c>
      <c r="R8" s="261">
        <v>18201000000</v>
      </c>
      <c r="S8" s="261">
        <v>10236000000</v>
      </c>
      <c r="T8" s="261">
        <v>6034000000</v>
      </c>
    </row>
    <row r="9" spans="1:20" x14ac:dyDescent="0.3">
      <c r="A9" s="261" t="s">
        <v>166</v>
      </c>
      <c r="B9" s="261">
        <v>54697000000</v>
      </c>
      <c r="C9" s="261">
        <v>65171000000</v>
      </c>
      <c r="D9" s="261">
        <v>61555000000</v>
      </c>
      <c r="E9" s="261">
        <v>48304000000</v>
      </c>
      <c r="F9" s="261">
        <v>62639000000</v>
      </c>
      <c r="G9" s="261">
        <v>90943000000</v>
      </c>
      <c r="H9" s="261">
        <v>100557000000</v>
      </c>
      <c r="I9" s="261">
        <v>66301000000</v>
      </c>
      <c r="J9" s="261">
        <v>74181000000</v>
      </c>
      <c r="K9" s="261">
        <v>67155000000</v>
      </c>
      <c r="L9" s="261">
        <v>41601000000</v>
      </c>
      <c r="M9" s="261">
        <v>25077000000</v>
      </c>
      <c r="N9" s="261">
        <v>40546000000</v>
      </c>
      <c r="O9" s="261">
        <v>29129000000</v>
      </c>
      <c r="P9" s="261">
        <v>25952000000</v>
      </c>
      <c r="Q9" s="261">
        <v>25620000000</v>
      </c>
      <c r="R9" s="261">
        <v>23464000000</v>
      </c>
      <c r="S9" s="261">
        <v>22111000000</v>
      </c>
      <c r="T9" s="261">
        <v>15386000000</v>
      </c>
    </row>
    <row r="10" spans="1:20" x14ac:dyDescent="0.3">
      <c r="A10" s="261" t="s">
        <v>167</v>
      </c>
      <c r="B10" s="261">
        <v>72957000000</v>
      </c>
      <c r="C10" s="261">
        <v>66243000000</v>
      </c>
      <c r="D10" s="261">
        <v>60985000000</v>
      </c>
      <c r="E10" s="261">
        <v>60932000000</v>
      </c>
      <c r="F10" s="261">
        <v>51506000000</v>
      </c>
      <c r="G10" s="261">
        <v>37445000000</v>
      </c>
      <c r="H10" s="261">
        <v>45804000000</v>
      </c>
      <c r="I10" s="261">
        <v>48995000000</v>
      </c>
      <c r="J10" s="261">
        <v>35673000000</v>
      </c>
      <c r="K10" s="261">
        <v>29299000000</v>
      </c>
      <c r="L10" s="261">
        <v>30343000000</v>
      </c>
      <c r="M10" s="261">
        <v>27219000000</v>
      </c>
      <c r="N10" s="261">
        <v>20641000000</v>
      </c>
      <c r="O10" s="261">
        <v>18692000000</v>
      </c>
      <c r="P10" s="261">
        <v>11717000000</v>
      </c>
      <c r="Q10" s="261">
        <v>9924000000</v>
      </c>
      <c r="R10" s="261">
        <v>5057000000</v>
      </c>
      <c r="S10" s="261">
        <v>4704000000</v>
      </c>
      <c r="T10" s="261">
        <v>4029000000</v>
      </c>
    </row>
    <row r="11" spans="1:20" x14ac:dyDescent="0.3">
      <c r="A11" s="261" t="s">
        <v>168</v>
      </c>
      <c r="B11" s="261">
        <v>5718000000</v>
      </c>
      <c r="C11" s="261">
        <v>7286000000</v>
      </c>
      <c r="D11" s="261">
        <v>6331000000</v>
      </c>
      <c r="E11" s="261">
        <v>4946000000</v>
      </c>
      <c r="F11" s="261">
        <v>6580000000</v>
      </c>
      <c r="G11" s="261">
        <v>4061000000</v>
      </c>
      <c r="H11" s="261">
        <v>4106000000</v>
      </c>
      <c r="I11" s="261">
        <v>3956000000</v>
      </c>
      <c r="J11" s="261">
        <v>4855000000</v>
      </c>
      <c r="K11" s="261">
        <v>2132000000</v>
      </c>
      <c r="L11" s="261">
        <v>2349000000</v>
      </c>
      <c r="M11" s="261">
        <v>2111000000</v>
      </c>
      <c r="N11" s="261">
        <v>1764000000</v>
      </c>
      <c r="O11" s="261">
        <v>791000000</v>
      </c>
      <c r="P11" s="261">
        <v>776000000</v>
      </c>
      <c r="Q11" s="261">
        <v>1051000000</v>
      </c>
      <c r="R11" s="261">
        <v>455000000</v>
      </c>
      <c r="S11" s="261">
        <v>509000000</v>
      </c>
      <c r="T11" s="261">
        <v>346000000</v>
      </c>
    </row>
    <row r="12" spans="1:20" x14ac:dyDescent="0.3">
      <c r="A12" s="261" t="s">
        <v>169</v>
      </c>
      <c r="B12" s="261">
        <v>14585000000</v>
      </c>
      <c r="C12" s="261">
        <v>14287000000</v>
      </c>
      <c r="D12" s="261">
        <v>14695000000</v>
      </c>
      <c r="E12" s="261">
        <v>21223000000</v>
      </c>
      <c r="F12" s="261">
        <v>14111000000</v>
      </c>
      <c r="G12" s="261">
        <v>11264000000</v>
      </c>
      <c r="H12" s="261">
        <v>12352000000</v>
      </c>
      <c r="I12" s="261">
        <v>12087000000</v>
      </c>
      <c r="J12" s="261">
        <v>13936000000</v>
      </c>
      <c r="K12" s="261">
        <v>8283000000</v>
      </c>
      <c r="L12" s="261">
        <v>15085000000</v>
      </c>
      <c r="M12" s="261">
        <v>14124000000</v>
      </c>
      <c r="N12" s="261">
        <v>10335000000</v>
      </c>
      <c r="O12" s="261">
        <v>9041000000</v>
      </c>
      <c r="P12" s="261">
        <v>6543000000</v>
      </c>
      <c r="Q12" s="261">
        <v>5083000000</v>
      </c>
      <c r="R12" s="261">
        <v>2579000000</v>
      </c>
      <c r="S12" s="261">
        <v>2682000000</v>
      </c>
      <c r="T12" s="261">
        <v>2195000000</v>
      </c>
    </row>
    <row r="13" spans="1:20" x14ac:dyDescent="0.3">
      <c r="A13" s="265" t="s">
        <v>170</v>
      </c>
      <c r="B13" s="263">
        <v>147957000000</v>
      </c>
      <c r="C13" s="263">
        <v>152987000000</v>
      </c>
      <c r="D13" s="263">
        <v>143566000000</v>
      </c>
      <c r="E13" s="263">
        <v>135405000000</v>
      </c>
      <c r="F13" s="263">
        <v>134836000000</v>
      </c>
      <c r="G13" s="263">
        <v>143713000000</v>
      </c>
      <c r="H13" s="263">
        <v>162819000000</v>
      </c>
      <c r="I13" s="263">
        <v>131339000000</v>
      </c>
      <c r="J13" s="263">
        <v>128645000000</v>
      </c>
      <c r="K13" s="263">
        <v>106869000000</v>
      </c>
      <c r="L13" s="263">
        <v>89378000000</v>
      </c>
      <c r="M13" s="263">
        <v>68531000000</v>
      </c>
      <c r="N13" s="263">
        <v>73286000000</v>
      </c>
      <c r="O13" s="263">
        <v>57653000000</v>
      </c>
      <c r="P13" s="263">
        <v>44988000000</v>
      </c>
      <c r="Q13" s="263">
        <v>41678000000</v>
      </c>
      <c r="R13" s="263">
        <v>31555000000</v>
      </c>
      <c r="S13" s="263">
        <v>30006000000</v>
      </c>
      <c r="T13" s="263">
        <v>21956000000</v>
      </c>
    </row>
    <row r="15" spans="1:20" x14ac:dyDescent="0.3">
      <c r="A15" s="261" t="s">
        <v>171</v>
      </c>
      <c r="B15" s="261">
        <v>49834000000</v>
      </c>
      <c r="C15" s="261">
        <v>45680000000</v>
      </c>
      <c r="D15" s="261">
        <v>54376000000</v>
      </c>
      <c r="E15" s="261">
        <v>52534000000</v>
      </c>
      <c r="F15" s="261">
        <v>49527000000</v>
      </c>
      <c r="G15" s="261">
        <v>45336000000</v>
      </c>
      <c r="H15" s="261">
        <v>37378000000</v>
      </c>
      <c r="I15" s="261">
        <v>41304000000</v>
      </c>
      <c r="J15" s="261">
        <v>33783000000</v>
      </c>
      <c r="K15" s="261">
        <v>27010000000</v>
      </c>
      <c r="L15" s="261">
        <v>22471000000</v>
      </c>
      <c r="M15" s="261">
        <v>20624000000</v>
      </c>
      <c r="N15" s="261">
        <v>16597000000</v>
      </c>
      <c r="O15" s="261">
        <v>15452000000</v>
      </c>
      <c r="P15" s="261">
        <v>7777000000</v>
      </c>
      <c r="Q15" s="261">
        <v>4768000000</v>
      </c>
      <c r="R15" s="261">
        <v>2954000000</v>
      </c>
      <c r="S15" s="261">
        <v>2455000000</v>
      </c>
      <c r="T15" s="261">
        <v>1832000000</v>
      </c>
    </row>
    <row r="16" spans="1:20" x14ac:dyDescent="0.3">
      <c r="A16" s="261" t="s">
        <v>172</v>
      </c>
      <c r="B16" s="261">
        <v>0</v>
      </c>
      <c r="C16" s="261">
        <v>0</v>
      </c>
      <c r="D16" s="261">
        <v>0</v>
      </c>
      <c r="E16" s="261">
        <v>0</v>
      </c>
      <c r="F16" s="261">
        <v>0</v>
      </c>
      <c r="G16" s="261">
        <v>0</v>
      </c>
      <c r="H16" s="261">
        <v>0</v>
      </c>
      <c r="I16" s="261">
        <v>0</v>
      </c>
      <c r="J16" s="261">
        <v>5717000000</v>
      </c>
      <c r="K16" s="261">
        <v>5414000000</v>
      </c>
      <c r="L16" s="261">
        <v>5116000000</v>
      </c>
      <c r="M16" s="261">
        <v>4616000000</v>
      </c>
      <c r="N16" s="261">
        <v>1577000000</v>
      </c>
      <c r="O16" s="261">
        <v>1135000000</v>
      </c>
      <c r="P16" s="261">
        <v>896000000</v>
      </c>
      <c r="Q16" s="261">
        <v>741000000</v>
      </c>
      <c r="R16" s="261">
        <v>206000000</v>
      </c>
      <c r="S16" s="261">
        <v>207000000</v>
      </c>
      <c r="T16" s="261">
        <v>38000000</v>
      </c>
    </row>
    <row r="17" spans="1:20" x14ac:dyDescent="0.3">
      <c r="A17" s="261" t="s">
        <v>173</v>
      </c>
      <c r="B17" s="261">
        <v>0</v>
      </c>
      <c r="C17" s="261">
        <v>0</v>
      </c>
      <c r="D17" s="261">
        <v>0</v>
      </c>
      <c r="E17" s="261">
        <v>0</v>
      </c>
      <c r="F17" s="261">
        <v>0</v>
      </c>
      <c r="G17" s="261">
        <v>0</v>
      </c>
      <c r="H17" s="261">
        <v>0</v>
      </c>
      <c r="I17" s="261">
        <v>0</v>
      </c>
      <c r="J17" s="261">
        <v>2298000000</v>
      </c>
      <c r="K17" s="261">
        <v>3206000000</v>
      </c>
      <c r="L17" s="261">
        <v>3893000000</v>
      </c>
      <c r="M17" s="261">
        <v>4142000000</v>
      </c>
      <c r="N17" s="261">
        <v>4179000000</v>
      </c>
      <c r="O17" s="261">
        <v>4224000000</v>
      </c>
      <c r="P17" s="261">
        <v>3536000000</v>
      </c>
      <c r="Q17" s="261">
        <v>342000000</v>
      </c>
      <c r="R17" s="261">
        <v>247000000</v>
      </c>
      <c r="S17" s="261">
        <v>285000000</v>
      </c>
      <c r="T17" s="261">
        <v>299000000</v>
      </c>
    </row>
    <row r="18" spans="1:20" x14ac:dyDescent="0.3">
      <c r="A18" s="261" t="s">
        <v>338</v>
      </c>
      <c r="B18" s="261">
        <v>0</v>
      </c>
      <c r="C18" s="261">
        <v>0</v>
      </c>
      <c r="D18" s="261">
        <v>0</v>
      </c>
      <c r="E18" s="261">
        <v>0</v>
      </c>
      <c r="F18" s="261">
        <v>0</v>
      </c>
      <c r="G18" s="261">
        <v>0</v>
      </c>
      <c r="H18" s="261">
        <v>0</v>
      </c>
      <c r="I18" s="261">
        <v>0</v>
      </c>
      <c r="J18" s="261">
        <v>8015000000</v>
      </c>
      <c r="K18" s="261">
        <v>8620000000</v>
      </c>
      <c r="L18" s="261">
        <v>9009000000</v>
      </c>
      <c r="M18" s="261">
        <v>8758000000</v>
      </c>
      <c r="N18" s="261">
        <v>5756000000</v>
      </c>
      <c r="O18" s="261">
        <v>5359000000</v>
      </c>
      <c r="P18" s="261">
        <v>4432000000</v>
      </c>
      <c r="Q18" s="261">
        <v>1083000000</v>
      </c>
      <c r="R18" s="261">
        <v>453000000</v>
      </c>
      <c r="S18" s="261">
        <v>492000000</v>
      </c>
      <c r="T18" s="261">
        <v>337000000</v>
      </c>
    </row>
    <row r="19" spans="1:20" x14ac:dyDescent="0.3">
      <c r="A19" s="261" t="s">
        <v>174</v>
      </c>
      <c r="B19" s="261">
        <v>77723000000</v>
      </c>
      <c r="C19" s="261">
        <v>91479000000</v>
      </c>
      <c r="D19" s="261">
        <v>100544000000</v>
      </c>
      <c r="E19" s="261">
        <v>120805000000</v>
      </c>
      <c r="F19" s="261">
        <v>127877000000</v>
      </c>
      <c r="G19" s="261">
        <v>100887000000</v>
      </c>
      <c r="H19" s="261">
        <v>105341000000</v>
      </c>
      <c r="I19" s="261">
        <v>170799000000</v>
      </c>
      <c r="J19" s="261">
        <v>194714000000</v>
      </c>
      <c r="K19" s="261">
        <v>170430000000</v>
      </c>
      <c r="L19" s="261">
        <v>164065000000</v>
      </c>
      <c r="M19" s="261">
        <v>130162000000</v>
      </c>
      <c r="N19" s="261">
        <v>106215000000</v>
      </c>
      <c r="O19" s="261">
        <v>92122000000</v>
      </c>
      <c r="P19" s="261">
        <v>55618000000</v>
      </c>
      <c r="Q19" s="261">
        <v>25391000000</v>
      </c>
      <c r="R19" s="261">
        <v>10528000000</v>
      </c>
      <c r="S19" s="261">
        <v>2379000000</v>
      </c>
      <c r="T19" s="261">
        <v>922000000</v>
      </c>
    </row>
    <row r="20" spans="1:20" x14ac:dyDescent="0.3">
      <c r="A20" s="261" t="s">
        <v>175</v>
      </c>
      <c r="B20" s="261">
        <v>20777000000</v>
      </c>
      <c r="C20" s="261">
        <v>19499000000</v>
      </c>
      <c r="D20" s="261">
        <v>17852000000</v>
      </c>
      <c r="E20" s="261">
        <v>15375000000</v>
      </c>
      <c r="F20" s="261">
        <v>0</v>
      </c>
      <c r="G20" s="261">
        <v>0</v>
      </c>
      <c r="H20" s="261">
        <v>0</v>
      </c>
      <c r="I20" s="261">
        <v>0</v>
      </c>
      <c r="J20" s="261">
        <v>-8015000000</v>
      </c>
      <c r="K20" s="261">
        <v>0</v>
      </c>
      <c r="L20" s="261">
        <v>0</v>
      </c>
      <c r="M20" s="261">
        <v>0</v>
      </c>
      <c r="N20" s="261">
        <v>0</v>
      </c>
      <c r="O20" s="261">
        <v>0</v>
      </c>
      <c r="P20" s="261">
        <v>0</v>
      </c>
      <c r="Q20" s="261">
        <v>0</v>
      </c>
      <c r="R20" s="261">
        <v>259000000</v>
      </c>
      <c r="S20" s="261">
        <v>104000000</v>
      </c>
      <c r="T20" s="261">
        <v>88000000</v>
      </c>
    </row>
    <row r="21" spans="1:20" x14ac:dyDescent="0.3">
      <c r="A21" s="261" t="s">
        <v>176</v>
      </c>
      <c r="B21" s="261">
        <v>62950000000</v>
      </c>
      <c r="C21" s="261">
        <v>55335000000</v>
      </c>
      <c r="D21" s="261">
        <v>36245000000</v>
      </c>
      <c r="E21" s="261">
        <v>28636000000</v>
      </c>
      <c r="F21" s="261">
        <v>38762000000</v>
      </c>
      <c r="G21" s="261">
        <v>33952000000</v>
      </c>
      <c r="H21" s="261">
        <v>32978000000</v>
      </c>
      <c r="I21" s="261">
        <v>22283000000</v>
      </c>
      <c r="J21" s="261">
        <v>18177000000</v>
      </c>
      <c r="K21" s="261">
        <v>8757000000</v>
      </c>
      <c r="L21" s="261">
        <v>5422000000</v>
      </c>
      <c r="M21" s="261">
        <v>3764000000</v>
      </c>
      <c r="N21" s="261">
        <v>5146000000</v>
      </c>
      <c r="O21" s="261">
        <v>5478000000</v>
      </c>
      <c r="P21" s="261">
        <v>3556000000</v>
      </c>
      <c r="Q21" s="261">
        <v>2263000000</v>
      </c>
      <c r="R21" s="261">
        <v>1752000000</v>
      </c>
      <c r="S21" s="261">
        <v>735000000</v>
      </c>
      <c r="T21" s="261">
        <v>212000000</v>
      </c>
    </row>
    <row r="22" spans="1:20" x14ac:dyDescent="0.3">
      <c r="A22" s="265" t="s">
        <v>177</v>
      </c>
      <c r="B22" s="263">
        <v>211284000000</v>
      </c>
      <c r="C22" s="263">
        <v>211993000000</v>
      </c>
      <c r="D22" s="263">
        <v>209017000000</v>
      </c>
      <c r="E22" s="263">
        <v>217350000000</v>
      </c>
      <c r="F22" s="263">
        <v>216166000000</v>
      </c>
      <c r="G22" s="263">
        <v>180175000000</v>
      </c>
      <c r="H22" s="263">
        <v>175697000000</v>
      </c>
      <c r="I22" s="263">
        <v>234386000000</v>
      </c>
      <c r="J22" s="263">
        <v>246674000000</v>
      </c>
      <c r="K22" s="263">
        <v>214817000000</v>
      </c>
      <c r="L22" s="263">
        <v>200967000000</v>
      </c>
      <c r="M22" s="263">
        <v>163308000000</v>
      </c>
      <c r="N22" s="263">
        <v>133714000000</v>
      </c>
      <c r="O22" s="263">
        <v>118411000000</v>
      </c>
      <c r="P22" s="263">
        <v>71383000000</v>
      </c>
      <c r="Q22" s="263">
        <v>33505000000</v>
      </c>
      <c r="R22" s="263">
        <v>15946000000</v>
      </c>
      <c r="S22" s="263">
        <v>6165000000</v>
      </c>
      <c r="T22" s="263">
        <v>3391000000</v>
      </c>
    </row>
    <row r="24" spans="1:20" x14ac:dyDescent="0.3">
      <c r="A24" s="261" t="s">
        <v>178</v>
      </c>
      <c r="B24" s="261">
        <v>0</v>
      </c>
      <c r="C24" s="261">
        <v>0</v>
      </c>
      <c r="D24" s="261">
        <v>0</v>
      </c>
      <c r="E24" s="261">
        <v>0</v>
      </c>
      <c r="F24" s="261">
        <v>0</v>
      </c>
      <c r="G24" s="261">
        <v>0</v>
      </c>
      <c r="H24" s="261">
        <v>0</v>
      </c>
      <c r="I24" s="261">
        <v>0</v>
      </c>
      <c r="J24" s="261">
        <v>0</v>
      </c>
      <c r="K24" s="261">
        <v>0</v>
      </c>
      <c r="L24" s="261">
        <v>0</v>
      </c>
      <c r="M24" s="261">
        <v>0</v>
      </c>
      <c r="N24" s="261">
        <v>0</v>
      </c>
      <c r="O24" s="261">
        <v>0</v>
      </c>
      <c r="P24" s="261">
        <v>0</v>
      </c>
      <c r="Q24" s="261">
        <v>0</v>
      </c>
      <c r="R24" s="261">
        <v>0</v>
      </c>
      <c r="S24" s="261">
        <v>0</v>
      </c>
      <c r="T24" s="261">
        <v>0</v>
      </c>
    </row>
    <row r="25" spans="1:20" x14ac:dyDescent="0.3">
      <c r="A25" s="265" t="s">
        <v>135</v>
      </c>
      <c r="B25" s="264">
        <v>359241000000</v>
      </c>
      <c r="C25" s="264">
        <v>364980000000</v>
      </c>
      <c r="D25" s="264">
        <v>352583000000</v>
      </c>
      <c r="E25" s="264">
        <v>352755000000</v>
      </c>
      <c r="F25" s="264">
        <v>351002000000</v>
      </c>
      <c r="G25" s="264">
        <v>323888000000</v>
      </c>
      <c r="H25" s="264">
        <v>338516000000</v>
      </c>
      <c r="I25" s="264">
        <v>365725000000</v>
      </c>
      <c r="J25" s="264">
        <v>375319000000</v>
      </c>
      <c r="K25" s="264">
        <v>321686000000</v>
      </c>
      <c r="L25" s="264">
        <v>290345000000</v>
      </c>
      <c r="M25" s="264">
        <v>231839000000</v>
      </c>
      <c r="N25" s="264">
        <v>207000000000</v>
      </c>
      <c r="O25" s="264">
        <v>176064000000</v>
      </c>
      <c r="P25" s="264">
        <v>116371000000</v>
      </c>
      <c r="Q25" s="264">
        <v>75183000000</v>
      </c>
      <c r="R25" s="264">
        <v>47501000000</v>
      </c>
      <c r="S25" s="264">
        <v>36171000000</v>
      </c>
      <c r="T25" s="264">
        <v>25347000000</v>
      </c>
    </row>
    <row r="27" spans="1:20" x14ac:dyDescent="0.3">
      <c r="A27" s="261" t="s">
        <v>179</v>
      </c>
      <c r="B27" s="261">
        <v>69860000000</v>
      </c>
      <c r="C27" s="261">
        <v>68960000000</v>
      </c>
      <c r="D27" s="261">
        <v>62611000000</v>
      </c>
      <c r="E27" s="261">
        <v>64115000000</v>
      </c>
      <c r="F27" s="261">
        <v>54763000000</v>
      </c>
      <c r="G27" s="261">
        <v>42296000000</v>
      </c>
      <c r="H27" s="261">
        <v>46236000000</v>
      </c>
      <c r="I27" s="261">
        <v>55888000000</v>
      </c>
      <c r="J27" s="261">
        <v>44242000000</v>
      </c>
      <c r="K27" s="261">
        <v>37294000000</v>
      </c>
      <c r="L27" s="261">
        <v>35490000000</v>
      </c>
      <c r="M27" s="261">
        <v>30196000000</v>
      </c>
      <c r="N27" s="261">
        <v>22367000000</v>
      </c>
      <c r="O27" s="261">
        <v>21175000000</v>
      </c>
      <c r="P27" s="261">
        <v>14632000000</v>
      </c>
      <c r="Q27" s="261">
        <v>12015000000</v>
      </c>
      <c r="R27" s="261">
        <v>5601000000</v>
      </c>
      <c r="S27" s="261">
        <v>5520000000</v>
      </c>
      <c r="T27" s="261">
        <v>4970000000</v>
      </c>
    </row>
    <row r="28" spans="1:20" x14ac:dyDescent="0.3">
      <c r="A28" s="261" t="s">
        <v>104</v>
      </c>
      <c r="B28" s="261">
        <v>22446000000</v>
      </c>
      <c r="C28" s="261">
        <v>22511000000</v>
      </c>
      <c r="D28" s="261">
        <v>17382000000</v>
      </c>
      <c r="E28" s="261">
        <v>22773000000</v>
      </c>
      <c r="F28" s="261">
        <v>17141000000</v>
      </c>
      <c r="G28" s="261">
        <v>15229000000</v>
      </c>
      <c r="H28" s="261">
        <v>16240000000</v>
      </c>
      <c r="I28" s="261">
        <v>20748000000</v>
      </c>
      <c r="J28" s="261">
        <v>18473000000</v>
      </c>
      <c r="K28" s="261">
        <v>11605000000</v>
      </c>
      <c r="L28" s="261">
        <v>10999000000</v>
      </c>
      <c r="M28" s="261">
        <v>6308000000</v>
      </c>
      <c r="N28" s="261">
        <v>0</v>
      </c>
      <c r="O28" s="261">
        <v>0</v>
      </c>
      <c r="P28" s="261">
        <v>0</v>
      </c>
      <c r="Q28" s="261">
        <v>0</v>
      </c>
      <c r="R28" s="261">
        <v>0</v>
      </c>
      <c r="S28" s="261">
        <v>0</v>
      </c>
      <c r="T28" s="261">
        <v>0</v>
      </c>
    </row>
    <row r="29" spans="1:20" x14ac:dyDescent="0.3">
      <c r="A29" s="261" t="s">
        <v>180</v>
      </c>
      <c r="B29" s="261">
        <v>0</v>
      </c>
      <c r="C29" s="261">
        <v>26601000000</v>
      </c>
      <c r="D29" s="261">
        <v>8819000000</v>
      </c>
      <c r="E29" s="261">
        <v>6552000000</v>
      </c>
      <c r="F29" s="261">
        <v>0</v>
      </c>
      <c r="G29" s="261">
        <v>0</v>
      </c>
      <c r="H29" s="261">
        <v>0</v>
      </c>
      <c r="I29" s="261">
        <v>0</v>
      </c>
      <c r="J29" s="261">
        <v>0</v>
      </c>
      <c r="K29" s="261">
        <v>0</v>
      </c>
      <c r="L29" s="261">
        <v>0</v>
      </c>
      <c r="M29" s="261">
        <v>1209000000</v>
      </c>
      <c r="N29" s="261">
        <v>1200000000</v>
      </c>
      <c r="O29" s="261">
        <v>1535000000</v>
      </c>
      <c r="P29" s="261">
        <v>1140000000</v>
      </c>
      <c r="Q29" s="261">
        <v>210000000</v>
      </c>
      <c r="R29" s="261">
        <v>430000000</v>
      </c>
      <c r="S29" s="261">
        <v>506000000</v>
      </c>
      <c r="T29" s="261">
        <v>488000000</v>
      </c>
    </row>
    <row r="30" spans="1:20" x14ac:dyDescent="0.3">
      <c r="A30" s="261" t="s">
        <v>181</v>
      </c>
      <c r="B30" s="261">
        <v>9055000000</v>
      </c>
      <c r="C30" s="261">
        <v>8249000000</v>
      </c>
      <c r="D30" s="261">
        <v>8061000000</v>
      </c>
      <c r="E30" s="261">
        <v>7912000000</v>
      </c>
      <c r="F30" s="261">
        <v>7612000000</v>
      </c>
      <c r="G30" s="261">
        <v>6643000000</v>
      </c>
      <c r="H30" s="261">
        <v>5522000000</v>
      </c>
      <c r="I30" s="261">
        <v>5966000000</v>
      </c>
      <c r="J30" s="261">
        <v>7548000000</v>
      </c>
      <c r="K30" s="261">
        <v>8080000000</v>
      </c>
      <c r="L30" s="261">
        <v>8940000000</v>
      </c>
      <c r="M30" s="261">
        <v>8491000000</v>
      </c>
      <c r="N30" s="261">
        <v>7435000000</v>
      </c>
      <c r="O30" s="261">
        <v>5953000000</v>
      </c>
      <c r="P30" s="261">
        <v>4091000000</v>
      </c>
      <c r="Q30" s="261">
        <v>2984000000</v>
      </c>
      <c r="R30" s="261">
        <v>2053000000</v>
      </c>
      <c r="S30" s="261">
        <v>1617000000</v>
      </c>
      <c r="T30" s="261">
        <v>1391000000</v>
      </c>
    </row>
    <row r="31" spans="1:20" x14ac:dyDescent="0.3">
      <c r="A31" s="261" t="s">
        <v>182</v>
      </c>
      <c r="B31" s="261">
        <v>64270000000</v>
      </c>
      <c r="C31" s="261">
        <v>50071000000</v>
      </c>
      <c r="D31" s="261">
        <v>48435000000</v>
      </c>
      <c r="E31" s="261">
        <v>52630000000</v>
      </c>
      <c r="F31" s="261">
        <v>45965000000</v>
      </c>
      <c r="G31" s="261">
        <v>41224000000</v>
      </c>
      <c r="H31" s="261">
        <v>37720000000</v>
      </c>
      <c r="I31" s="261">
        <v>33327000000</v>
      </c>
      <c r="J31" s="261">
        <v>30551000000</v>
      </c>
      <c r="K31" s="261">
        <v>22027000000</v>
      </c>
      <c r="L31" s="261">
        <v>25181000000</v>
      </c>
      <c r="M31" s="261">
        <v>17244000000</v>
      </c>
      <c r="N31" s="261">
        <v>12656000000</v>
      </c>
      <c r="O31" s="261">
        <v>9879000000</v>
      </c>
      <c r="P31" s="261">
        <v>8107000000</v>
      </c>
      <c r="Q31" s="261">
        <v>5513000000</v>
      </c>
      <c r="R31" s="261">
        <v>3422000000</v>
      </c>
      <c r="S31" s="261">
        <v>3718000000</v>
      </c>
      <c r="T31" s="261">
        <v>2431000000</v>
      </c>
    </row>
    <row r="32" spans="1:20" x14ac:dyDescent="0.3">
      <c r="A32" s="265" t="s">
        <v>183</v>
      </c>
      <c r="B32" s="263">
        <v>165631000000</v>
      </c>
      <c r="C32" s="263">
        <v>176392000000</v>
      </c>
      <c r="D32" s="263">
        <v>145308000000</v>
      </c>
      <c r="E32" s="263">
        <v>153982000000</v>
      </c>
      <c r="F32" s="263">
        <v>125481000000</v>
      </c>
      <c r="G32" s="263">
        <v>105392000000</v>
      </c>
      <c r="H32" s="263">
        <v>105718000000</v>
      </c>
      <c r="I32" s="263">
        <v>115929000000</v>
      </c>
      <c r="J32" s="263">
        <v>100814000000</v>
      </c>
      <c r="K32" s="263">
        <v>79006000000</v>
      </c>
      <c r="L32" s="263">
        <v>80610000000</v>
      </c>
      <c r="M32" s="263">
        <v>63448000000</v>
      </c>
      <c r="N32" s="263">
        <v>43658000000</v>
      </c>
      <c r="O32" s="263">
        <v>38542000000</v>
      </c>
      <c r="P32" s="263">
        <v>27970000000</v>
      </c>
      <c r="Q32" s="263">
        <v>20722000000</v>
      </c>
      <c r="R32" s="263">
        <v>11506000000</v>
      </c>
      <c r="S32" s="263">
        <v>11361000000</v>
      </c>
      <c r="T32" s="263">
        <v>9280000000</v>
      </c>
    </row>
    <row r="34" spans="1:20" x14ac:dyDescent="0.3">
      <c r="A34" s="261" t="s">
        <v>184</v>
      </c>
      <c r="B34" s="261">
        <v>89931000000</v>
      </c>
      <c r="C34" s="261">
        <v>96548000000</v>
      </c>
      <c r="D34" s="261">
        <v>106548000000</v>
      </c>
      <c r="E34" s="261">
        <v>109707000000</v>
      </c>
      <c r="F34" s="261">
        <v>119381000000</v>
      </c>
      <c r="G34" s="261">
        <v>107049000000</v>
      </c>
      <c r="H34" s="261">
        <v>91807000000</v>
      </c>
      <c r="I34" s="261">
        <v>93735000000</v>
      </c>
      <c r="J34" s="261">
        <v>97207000000</v>
      </c>
      <c r="K34" s="261">
        <v>75427000000</v>
      </c>
      <c r="L34" s="261">
        <v>53329000000</v>
      </c>
      <c r="M34" s="261">
        <v>28987000000</v>
      </c>
      <c r="N34" s="261">
        <v>16960000000</v>
      </c>
      <c r="O34" s="261">
        <v>0</v>
      </c>
      <c r="P34" s="261">
        <v>0</v>
      </c>
      <c r="Q34" s="261">
        <v>0</v>
      </c>
      <c r="R34" s="261">
        <v>0</v>
      </c>
      <c r="S34" s="261">
        <v>0</v>
      </c>
      <c r="T34" s="261">
        <v>0</v>
      </c>
    </row>
    <row r="35" spans="1:20" x14ac:dyDescent="0.3">
      <c r="A35" s="261" t="s">
        <v>185</v>
      </c>
      <c r="B35" s="261">
        <v>0</v>
      </c>
      <c r="C35" s="261">
        <v>0</v>
      </c>
      <c r="D35" s="261">
        <v>0</v>
      </c>
      <c r="E35" s="261">
        <v>0</v>
      </c>
      <c r="F35" s="261">
        <v>0</v>
      </c>
      <c r="G35" s="261">
        <v>0</v>
      </c>
      <c r="H35" s="261">
        <v>0</v>
      </c>
      <c r="I35" s="261">
        <v>2797000000</v>
      </c>
      <c r="J35" s="261">
        <v>2836000000</v>
      </c>
      <c r="K35" s="261">
        <v>2930000000</v>
      </c>
      <c r="L35" s="261">
        <v>3624000000</v>
      </c>
      <c r="M35" s="261">
        <v>3031000000</v>
      </c>
      <c r="N35" s="261">
        <v>2625000000</v>
      </c>
      <c r="O35" s="261">
        <v>2648000000</v>
      </c>
      <c r="P35" s="261">
        <v>1686000000</v>
      </c>
      <c r="Q35" s="261">
        <v>1139000000</v>
      </c>
      <c r="R35" s="261">
        <v>853000000</v>
      </c>
      <c r="S35" s="261">
        <v>768000000</v>
      </c>
      <c r="T35" s="261">
        <v>849000000</v>
      </c>
    </row>
    <row r="36" spans="1:20" x14ac:dyDescent="0.3">
      <c r="A36" s="261" t="s">
        <v>186</v>
      </c>
      <c r="B36" s="261">
        <v>0</v>
      </c>
      <c r="C36" s="261">
        <v>0</v>
      </c>
      <c r="D36" s="261">
        <v>0</v>
      </c>
      <c r="E36" s="261">
        <v>0</v>
      </c>
      <c r="F36" s="261">
        <v>0</v>
      </c>
      <c r="G36" s="261">
        <v>0</v>
      </c>
      <c r="H36" s="261">
        <v>0</v>
      </c>
      <c r="I36" s="261">
        <v>426000000</v>
      </c>
      <c r="J36" s="261">
        <v>31504000000</v>
      </c>
      <c r="K36" s="261">
        <v>26019000000</v>
      </c>
      <c r="L36" s="261">
        <v>24062000000</v>
      </c>
      <c r="M36" s="261">
        <v>20259000000</v>
      </c>
      <c r="N36" s="261">
        <v>16489000000</v>
      </c>
      <c r="O36" s="261">
        <v>13847000000</v>
      </c>
      <c r="P36" s="261">
        <v>8159000000</v>
      </c>
      <c r="Q36" s="261">
        <v>4300000000</v>
      </c>
      <c r="R36" s="261">
        <v>966000000</v>
      </c>
      <c r="S36" s="261">
        <v>999000000</v>
      </c>
      <c r="T36" s="261">
        <v>619000000</v>
      </c>
    </row>
    <row r="37" spans="1:20" x14ac:dyDescent="0.3">
      <c r="A37" s="261" t="s">
        <v>187</v>
      </c>
      <c r="B37" s="261">
        <v>29946000000</v>
      </c>
      <c r="C37" s="261">
        <v>35090000000</v>
      </c>
      <c r="D37" s="261">
        <v>38581000000</v>
      </c>
      <c r="E37" s="261">
        <v>38394000000</v>
      </c>
      <c r="F37" s="261">
        <v>43050000000</v>
      </c>
      <c r="G37" s="261">
        <v>46108000000</v>
      </c>
      <c r="H37" s="261">
        <v>50503000000</v>
      </c>
      <c r="I37" s="261">
        <v>45691000000</v>
      </c>
      <c r="J37" s="261">
        <v>8911000000</v>
      </c>
      <c r="K37" s="261">
        <v>10055000000</v>
      </c>
      <c r="L37" s="261">
        <v>9365000000</v>
      </c>
      <c r="M37" s="261">
        <v>4567000000</v>
      </c>
      <c r="N37" s="261">
        <v>3719000000</v>
      </c>
      <c r="O37" s="261">
        <v>2817000000</v>
      </c>
      <c r="P37" s="261">
        <v>1941000000</v>
      </c>
      <c r="Q37" s="261">
        <v>1231000000</v>
      </c>
      <c r="R37" s="261">
        <v>2536000000</v>
      </c>
      <c r="S37" s="261">
        <v>746000000</v>
      </c>
      <c r="T37" s="261">
        <v>67000000</v>
      </c>
    </row>
    <row r="38" spans="1:20" x14ac:dyDescent="0.3">
      <c r="A38" s="265" t="s">
        <v>188</v>
      </c>
      <c r="B38" s="263">
        <v>119877000000</v>
      </c>
      <c r="C38" s="263">
        <v>131638000000</v>
      </c>
      <c r="D38" s="263">
        <v>145129000000</v>
      </c>
      <c r="E38" s="263">
        <v>148101000000</v>
      </c>
      <c r="F38" s="263">
        <v>162431000000</v>
      </c>
      <c r="G38" s="263">
        <v>153157000000</v>
      </c>
      <c r="H38" s="263">
        <v>142310000000</v>
      </c>
      <c r="I38" s="263">
        <v>142649000000</v>
      </c>
      <c r="J38" s="263">
        <v>140458000000</v>
      </c>
      <c r="K38" s="263">
        <v>114431000000</v>
      </c>
      <c r="L38" s="263">
        <v>90380000000</v>
      </c>
      <c r="M38" s="263">
        <v>56844000000</v>
      </c>
      <c r="N38" s="263">
        <v>39793000000</v>
      </c>
      <c r="O38" s="263">
        <v>19312000000</v>
      </c>
      <c r="P38" s="263">
        <v>11786000000</v>
      </c>
      <c r="Q38" s="263">
        <v>6670000000</v>
      </c>
      <c r="R38" s="263">
        <v>4355000000</v>
      </c>
      <c r="S38" s="263">
        <v>2513000000</v>
      </c>
      <c r="T38" s="263">
        <v>1535000000</v>
      </c>
    </row>
    <row r="40" spans="1:20" x14ac:dyDescent="0.3">
      <c r="A40" s="261" t="s">
        <v>189</v>
      </c>
      <c r="B40" s="261">
        <v>0</v>
      </c>
      <c r="C40" s="261">
        <v>0</v>
      </c>
      <c r="D40" s="261">
        <v>0</v>
      </c>
      <c r="E40" s="261">
        <v>0</v>
      </c>
      <c r="F40" s="261">
        <v>0</v>
      </c>
      <c r="G40" s="261">
        <v>0</v>
      </c>
      <c r="H40" s="261">
        <v>0</v>
      </c>
      <c r="I40" s="261">
        <v>0</v>
      </c>
      <c r="J40" s="261">
        <v>0</v>
      </c>
      <c r="K40" s="261">
        <v>0</v>
      </c>
      <c r="L40" s="261">
        <v>0</v>
      </c>
      <c r="M40" s="261">
        <v>0</v>
      </c>
      <c r="N40" s="261">
        <v>0</v>
      </c>
      <c r="O40" s="261">
        <v>0</v>
      </c>
      <c r="P40" s="261">
        <v>0</v>
      </c>
      <c r="Q40" s="261">
        <v>0</v>
      </c>
      <c r="R40" s="261">
        <v>0</v>
      </c>
      <c r="S40" s="261">
        <v>0</v>
      </c>
      <c r="T40" s="261">
        <v>0</v>
      </c>
    </row>
    <row r="41" spans="1:20" x14ac:dyDescent="0.3">
      <c r="A41" s="265" t="s">
        <v>140</v>
      </c>
      <c r="B41" s="264">
        <v>285508000000</v>
      </c>
      <c r="C41" s="264">
        <v>308030000000</v>
      </c>
      <c r="D41" s="264">
        <v>290437000000</v>
      </c>
      <c r="E41" s="264">
        <v>302083000000</v>
      </c>
      <c r="F41" s="264">
        <v>287912000000</v>
      </c>
      <c r="G41" s="264">
        <v>258549000000</v>
      </c>
      <c r="H41" s="264">
        <v>248028000000</v>
      </c>
      <c r="I41" s="264">
        <v>258578000000</v>
      </c>
      <c r="J41" s="264">
        <v>241272000000</v>
      </c>
      <c r="K41" s="264">
        <v>193437000000</v>
      </c>
      <c r="L41" s="264">
        <v>170990000000</v>
      </c>
      <c r="M41" s="264">
        <v>120292000000</v>
      </c>
      <c r="N41" s="264">
        <v>83451000000</v>
      </c>
      <c r="O41" s="264">
        <v>57854000000</v>
      </c>
      <c r="P41" s="264">
        <v>39756000000</v>
      </c>
      <c r="Q41" s="264">
        <v>27392000000</v>
      </c>
      <c r="R41" s="264">
        <v>15861000000</v>
      </c>
      <c r="S41" s="264">
        <v>13874000000</v>
      </c>
      <c r="T41" s="264">
        <v>10815000000</v>
      </c>
    </row>
    <row r="43" spans="1:20" x14ac:dyDescent="0.3">
      <c r="A43" s="261" t="s">
        <v>190</v>
      </c>
      <c r="B43" s="261">
        <v>93568000000</v>
      </c>
      <c r="C43" s="261">
        <v>83276000000</v>
      </c>
      <c r="D43" s="261">
        <v>73812000000</v>
      </c>
      <c r="E43" s="261">
        <v>64849000000</v>
      </c>
      <c r="F43" s="261">
        <v>57365000000</v>
      </c>
      <c r="G43" s="261">
        <v>50779000000</v>
      </c>
      <c r="H43" s="261">
        <v>45174000000</v>
      </c>
      <c r="I43" s="261">
        <v>40201000000</v>
      </c>
      <c r="J43" s="261">
        <v>35867000000</v>
      </c>
      <c r="K43" s="261">
        <v>31251000000</v>
      </c>
      <c r="L43" s="261">
        <v>27416000000</v>
      </c>
      <c r="M43" s="261">
        <v>23313000000</v>
      </c>
      <c r="N43" s="261">
        <v>19764000000</v>
      </c>
      <c r="O43" s="261">
        <v>16422000000</v>
      </c>
      <c r="P43" s="261">
        <v>13331000000</v>
      </c>
      <c r="Q43" s="261">
        <v>10668000000</v>
      </c>
      <c r="R43" s="261">
        <v>8210000000</v>
      </c>
      <c r="S43" s="261">
        <v>7177000000</v>
      </c>
      <c r="T43" s="261">
        <v>5368000000</v>
      </c>
    </row>
    <row r="44" spans="1:20" x14ac:dyDescent="0.3">
      <c r="A44" s="261" t="s">
        <v>136</v>
      </c>
      <c r="B44" s="261">
        <v>-14264000000</v>
      </c>
      <c r="C44" s="261">
        <v>-19154000000</v>
      </c>
      <c r="D44" s="261">
        <v>-214000000</v>
      </c>
      <c r="E44" s="261">
        <v>-3068000000</v>
      </c>
      <c r="F44" s="261">
        <v>5562000000</v>
      </c>
      <c r="G44" s="261">
        <v>14966000000</v>
      </c>
      <c r="H44" s="261">
        <v>45898000000</v>
      </c>
      <c r="I44" s="261">
        <v>70400000000</v>
      </c>
      <c r="J44" s="261">
        <v>98330000000</v>
      </c>
      <c r="K44" s="261">
        <v>96364000000</v>
      </c>
      <c r="L44" s="261">
        <v>92284000000</v>
      </c>
      <c r="M44" s="261">
        <v>87152000000</v>
      </c>
      <c r="N44" s="261">
        <v>104256000000</v>
      </c>
      <c r="O44" s="261">
        <v>101289000000</v>
      </c>
      <c r="P44" s="261">
        <v>62841000000</v>
      </c>
      <c r="Q44" s="261">
        <v>37169000000</v>
      </c>
      <c r="R44" s="261">
        <v>23353000000</v>
      </c>
      <c r="S44" s="261">
        <v>15129000000</v>
      </c>
      <c r="T44" s="261">
        <v>9101000000</v>
      </c>
    </row>
    <row r="45" spans="1:20" x14ac:dyDescent="0.3">
      <c r="A45" s="261" t="s">
        <v>191</v>
      </c>
      <c r="B45" s="261">
        <v>-5571000000</v>
      </c>
      <c r="C45" s="261">
        <v>-7172000000</v>
      </c>
      <c r="D45" s="261">
        <v>-11452000000</v>
      </c>
      <c r="E45" s="261">
        <v>-11109000000</v>
      </c>
      <c r="F45" s="261">
        <v>163000000</v>
      </c>
      <c r="G45" s="261">
        <v>-406000000</v>
      </c>
      <c r="H45" s="261">
        <v>-584000000</v>
      </c>
      <c r="I45" s="261">
        <v>-3454000000</v>
      </c>
      <c r="J45" s="261">
        <v>-150000000</v>
      </c>
      <c r="K45" s="261">
        <v>634000000</v>
      </c>
      <c r="L45" s="261">
        <v>-345000000</v>
      </c>
      <c r="M45" s="261">
        <v>1082000000</v>
      </c>
      <c r="N45" s="261">
        <v>-471000000</v>
      </c>
      <c r="O45" s="261">
        <v>499000000</v>
      </c>
      <c r="P45" s="261">
        <v>443000000</v>
      </c>
      <c r="Q45" s="261">
        <v>-46000000</v>
      </c>
      <c r="R45" s="261">
        <v>77000000</v>
      </c>
      <c r="S45" s="261">
        <v>-9000000</v>
      </c>
      <c r="T45" s="261">
        <v>63000000</v>
      </c>
    </row>
    <row r="46" spans="1:20" x14ac:dyDescent="0.3">
      <c r="A46" s="261" t="s">
        <v>192</v>
      </c>
      <c r="B46" s="261">
        <v>0</v>
      </c>
      <c r="C46" s="261">
        <v>0</v>
      </c>
      <c r="D46" s="261">
        <v>0</v>
      </c>
      <c r="E46" s="261">
        <v>0</v>
      </c>
      <c r="F46" s="261">
        <v>0</v>
      </c>
      <c r="G46" s="261">
        <v>0</v>
      </c>
      <c r="H46" s="261">
        <v>0</v>
      </c>
      <c r="I46" s="261">
        <v>0</v>
      </c>
      <c r="J46" s="261">
        <v>0</v>
      </c>
      <c r="K46" s="261">
        <v>0</v>
      </c>
      <c r="L46" s="261">
        <v>0</v>
      </c>
      <c r="M46" s="261">
        <v>0</v>
      </c>
      <c r="N46" s="261">
        <v>0</v>
      </c>
      <c r="O46" s="261">
        <v>0</v>
      </c>
      <c r="P46" s="261">
        <v>0</v>
      </c>
      <c r="Q46" s="261">
        <v>0</v>
      </c>
      <c r="R46" s="261">
        <v>0</v>
      </c>
      <c r="S46" s="261">
        <v>0</v>
      </c>
      <c r="T46" s="261">
        <v>0</v>
      </c>
    </row>
    <row r="47" spans="1:20" x14ac:dyDescent="0.3">
      <c r="A47" s="265" t="s">
        <v>193</v>
      </c>
      <c r="B47" s="264">
        <v>73733000000</v>
      </c>
      <c r="C47" s="264">
        <v>56950000000</v>
      </c>
      <c r="D47" s="264">
        <v>62146000000</v>
      </c>
      <c r="E47" s="264">
        <v>50672000000</v>
      </c>
      <c r="F47" s="264">
        <v>63090000000</v>
      </c>
      <c r="G47" s="264">
        <v>65339000000</v>
      </c>
      <c r="H47" s="264">
        <v>90488000000</v>
      </c>
      <c r="I47" s="264">
        <v>107147000000</v>
      </c>
      <c r="J47" s="264">
        <v>134047000000</v>
      </c>
      <c r="K47" s="264">
        <v>128249000000</v>
      </c>
      <c r="L47" s="264">
        <v>119355000000</v>
      </c>
      <c r="M47" s="264">
        <v>111547000000</v>
      </c>
      <c r="N47" s="264">
        <v>123549000000</v>
      </c>
      <c r="O47" s="264">
        <v>118210000000</v>
      </c>
      <c r="P47" s="264">
        <v>76615000000</v>
      </c>
      <c r="Q47" s="264">
        <v>47791000000</v>
      </c>
      <c r="R47" s="264">
        <v>31640000000</v>
      </c>
      <c r="S47" s="264">
        <v>22297000000</v>
      </c>
      <c r="T47" s="264">
        <v>14532000000</v>
      </c>
    </row>
    <row r="49" spans="1:20" x14ac:dyDescent="0.3">
      <c r="A49" s="261" t="s">
        <v>194</v>
      </c>
      <c r="B49" s="261">
        <v>359241000000</v>
      </c>
      <c r="C49" s="261">
        <v>364980000000</v>
      </c>
      <c r="D49" s="261">
        <v>352583000000</v>
      </c>
      <c r="E49" s="261">
        <v>352755000000</v>
      </c>
      <c r="F49" s="261">
        <v>351002000000</v>
      </c>
      <c r="G49" s="261">
        <v>323888000000</v>
      </c>
      <c r="H49" s="261">
        <v>338516000000</v>
      </c>
      <c r="I49" s="261">
        <v>365725000000</v>
      </c>
      <c r="J49" s="261">
        <v>375319000000</v>
      </c>
      <c r="K49" s="261">
        <v>321686000000</v>
      </c>
      <c r="L49" s="261">
        <v>290345000000</v>
      </c>
      <c r="M49" s="261">
        <v>231839000000</v>
      </c>
      <c r="N49" s="261">
        <v>207000000000</v>
      </c>
      <c r="O49" s="261">
        <v>176064000000</v>
      </c>
      <c r="P49" s="261">
        <v>116371000000</v>
      </c>
      <c r="Q49" s="261">
        <v>75183000000</v>
      </c>
      <c r="R49" s="261">
        <v>47501000000</v>
      </c>
      <c r="S49" s="261">
        <v>36171000000</v>
      </c>
      <c r="T49" s="261">
        <v>25347000000</v>
      </c>
    </row>
    <row r="50" spans="1:20" x14ac:dyDescent="0.3">
      <c r="A50" s="261" t="s">
        <v>195</v>
      </c>
      <c r="B50" s="261">
        <v>96486000000</v>
      </c>
      <c r="C50" s="261">
        <v>126707000000</v>
      </c>
      <c r="D50" s="261">
        <v>132134000000</v>
      </c>
      <c r="E50" s="261">
        <v>145463000000</v>
      </c>
      <c r="F50" s="261">
        <v>155576000000</v>
      </c>
      <c r="G50" s="261">
        <v>153814000000</v>
      </c>
      <c r="H50" s="261">
        <v>157054000000</v>
      </c>
      <c r="I50" s="261">
        <v>211187000000</v>
      </c>
      <c r="J50" s="261">
        <v>248606000000</v>
      </c>
      <c r="K50" s="261">
        <v>217101000000</v>
      </c>
      <c r="L50" s="261">
        <v>184546000000</v>
      </c>
      <c r="M50" s="261">
        <v>141395000000</v>
      </c>
      <c r="N50" s="261">
        <v>132502000000</v>
      </c>
      <c r="O50" s="261">
        <v>110505000000</v>
      </c>
      <c r="P50" s="261">
        <v>71755000000</v>
      </c>
      <c r="Q50" s="261">
        <v>39750000000</v>
      </c>
      <c r="R50" s="261">
        <v>28729000000</v>
      </c>
      <c r="S50" s="261">
        <v>12615000000</v>
      </c>
      <c r="T50" s="261">
        <v>6956000000</v>
      </c>
    </row>
    <row r="51" spans="1:20" x14ac:dyDescent="0.3">
      <c r="A51" s="261" t="s">
        <v>35</v>
      </c>
      <c r="B51" s="261">
        <v>112377000000</v>
      </c>
      <c r="C51" s="261">
        <v>119059000000</v>
      </c>
      <c r="D51" s="261">
        <v>123930000000</v>
      </c>
      <c r="E51" s="261">
        <v>132480000000</v>
      </c>
      <c r="F51" s="261">
        <v>136522000000</v>
      </c>
      <c r="G51" s="261">
        <v>122278000000</v>
      </c>
      <c r="H51" s="261">
        <v>108047000000</v>
      </c>
      <c r="I51" s="261">
        <v>114483000000</v>
      </c>
      <c r="J51" s="261">
        <v>115680000000</v>
      </c>
      <c r="K51" s="261">
        <v>87032000000</v>
      </c>
      <c r="L51" s="261">
        <v>64328000000</v>
      </c>
      <c r="M51" s="261">
        <v>35295000000</v>
      </c>
      <c r="N51" s="261">
        <v>16960000000</v>
      </c>
      <c r="O51" s="261">
        <v>0</v>
      </c>
      <c r="P51" s="261">
        <v>0</v>
      </c>
      <c r="Q51" s="261">
        <v>0</v>
      </c>
      <c r="R51" s="261">
        <v>0</v>
      </c>
      <c r="S51" s="261">
        <v>0</v>
      </c>
      <c r="T51" s="261">
        <v>0</v>
      </c>
    </row>
    <row r="52" spans="1:20" x14ac:dyDescent="0.3">
      <c r="A52" s="261" t="s">
        <v>196</v>
      </c>
      <c r="B52" s="261">
        <v>76443000000</v>
      </c>
      <c r="C52" s="261">
        <v>89116000000</v>
      </c>
      <c r="D52" s="261">
        <v>93965000000</v>
      </c>
      <c r="E52" s="261">
        <v>108834000000</v>
      </c>
      <c r="F52" s="261">
        <v>101582000000</v>
      </c>
      <c r="G52" s="261">
        <v>84262000000</v>
      </c>
      <c r="H52" s="261">
        <v>59203000000</v>
      </c>
      <c r="I52" s="261">
        <v>88570000000</v>
      </c>
      <c r="J52" s="261">
        <v>95391000000</v>
      </c>
      <c r="K52" s="261">
        <v>66548000000</v>
      </c>
      <c r="L52" s="261">
        <v>43208000000</v>
      </c>
      <c r="M52" s="261">
        <v>21451000000</v>
      </c>
      <c r="N52" s="261">
        <v>2701000000</v>
      </c>
      <c r="O52" s="261">
        <v>-10746000000</v>
      </c>
      <c r="P52" s="261">
        <v>-9815000000</v>
      </c>
      <c r="Q52" s="261">
        <v>-11261000000</v>
      </c>
      <c r="R52" s="261">
        <v>-5263000000</v>
      </c>
      <c r="S52" s="261">
        <v>-11875000000</v>
      </c>
      <c r="T52" s="261">
        <v>-9352000000</v>
      </c>
    </row>
  </sheetData>
  <mergeCells count="1">
    <mergeCell ref="B4:T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2E4B-7F41-4AB0-8307-6213FDBB1274}">
  <dimension ref="A1:T39"/>
  <sheetViews>
    <sheetView workbookViewId="0"/>
  </sheetViews>
  <sheetFormatPr defaultRowHeight="14.4" x14ac:dyDescent="0.3"/>
  <cols>
    <col min="1" max="1" width="40.88671875" bestFit="1" customWidth="1"/>
    <col min="2" max="7" width="19.109375" bestFit="1" customWidth="1"/>
    <col min="8" max="8" width="17.6640625" bestFit="1" customWidth="1"/>
    <col min="9" max="9" width="18.5546875" bestFit="1" customWidth="1"/>
    <col min="10" max="16" width="19.109375" bestFit="1" customWidth="1"/>
    <col min="17" max="20" width="17.6640625" bestFit="1" customWidth="1"/>
  </cols>
  <sheetData>
    <row r="1" spans="1:20" x14ac:dyDescent="0.3">
      <c r="A1" s="268" t="s">
        <v>339</v>
      </c>
      <c r="B1" s="268"/>
      <c r="C1" s="268"/>
      <c r="D1" s="268"/>
      <c r="E1" s="268"/>
      <c r="F1" s="268"/>
      <c r="G1" s="268"/>
      <c r="H1" s="268"/>
      <c r="I1" s="268"/>
      <c r="J1" s="268"/>
      <c r="K1" s="268"/>
      <c r="L1" s="268"/>
      <c r="M1" s="268"/>
      <c r="N1" s="268"/>
      <c r="O1" s="268"/>
      <c r="P1" s="268"/>
      <c r="Q1" s="268"/>
      <c r="R1" s="268"/>
      <c r="S1" s="268"/>
      <c r="T1" s="268"/>
    </row>
    <row r="2" spans="1:20" x14ac:dyDescent="0.3">
      <c r="A2" t="s">
        <v>325</v>
      </c>
      <c r="B2" t="s">
        <v>326</v>
      </c>
    </row>
    <row r="3" spans="1:20" x14ac:dyDescent="0.3">
      <c r="A3" t="s">
        <v>327</v>
      </c>
      <c r="B3" t="str">
        <f>'AAPL - Income Statement FY'!B3</f>
        <v>USD</v>
      </c>
    </row>
    <row r="4" spans="1:20" x14ac:dyDescent="0.3">
      <c r="A4" t="s">
        <v>335</v>
      </c>
      <c r="B4" s="243" t="s">
        <v>336</v>
      </c>
      <c r="C4" s="243"/>
      <c r="D4" s="243"/>
      <c r="E4" s="243"/>
      <c r="F4" s="243"/>
      <c r="G4" s="243"/>
      <c r="H4" s="243"/>
      <c r="I4" s="243"/>
      <c r="J4" s="243"/>
      <c r="K4" s="243"/>
      <c r="L4" s="243"/>
      <c r="M4" s="243"/>
      <c r="N4" s="243"/>
      <c r="O4" s="243"/>
      <c r="P4" s="243"/>
      <c r="Q4" s="243"/>
      <c r="R4" s="243"/>
      <c r="S4" s="243"/>
      <c r="T4" s="243"/>
    </row>
    <row r="5" spans="1:20" x14ac:dyDescent="0.3">
      <c r="A5" t="s">
        <v>337</v>
      </c>
      <c r="B5" s="267">
        <v>45927</v>
      </c>
      <c r="C5" s="267">
        <v>45563</v>
      </c>
      <c r="D5" s="267">
        <v>45199</v>
      </c>
      <c r="E5" s="267">
        <v>44828</v>
      </c>
      <c r="F5" s="267">
        <v>44464</v>
      </c>
      <c r="G5" s="267">
        <v>44100</v>
      </c>
      <c r="H5" s="267">
        <v>43736</v>
      </c>
      <c r="I5" s="267">
        <v>43372</v>
      </c>
      <c r="J5" s="267">
        <v>43008</v>
      </c>
      <c r="K5" s="267">
        <v>42637</v>
      </c>
      <c r="L5" s="267">
        <v>42273</v>
      </c>
      <c r="M5" s="267">
        <v>41909</v>
      </c>
      <c r="N5" s="267">
        <v>41545</v>
      </c>
      <c r="O5" s="267">
        <v>41181</v>
      </c>
      <c r="P5" s="267">
        <v>40810</v>
      </c>
      <c r="Q5" s="267">
        <v>40446</v>
      </c>
      <c r="R5" s="267">
        <v>40082</v>
      </c>
      <c r="S5" s="267">
        <v>39718</v>
      </c>
      <c r="T5" s="267">
        <v>39354</v>
      </c>
    </row>
    <row r="7" spans="1:20" x14ac:dyDescent="0.3">
      <c r="A7" s="265" t="s">
        <v>82</v>
      </c>
      <c r="B7" s="264">
        <v>112010000000</v>
      </c>
      <c r="C7" s="264">
        <v>93736000000</v>
      </c>
      <c r="D7" s="264">
        <v>96995000000</v>
      </c>
      <c r="E7" s="264">
        <v>99803000000</v>
      </c>
      <c r="F7" s="264">
        <v>94680000000</v>
      </c>
      <c r="G7" s="264">
        <v>57411000000</v>
      </c>
      <c r="H7" s="264">
        <v>55256000000</v>
      </c>
      <c r="I7" s="264">
        <v>59531000000</v>
      </c>
      <c r="J7" s="264">
        <v>48351000000</v>
      </c>
      <c r="K7" s="264">
        <v>45687000000</v>
      </c>
      <c r="L7" s="264">
        <v>53394000000</v>
      </c>
      <c r="M7" s="264">
        <v>39510000000</v>
      </c>
      <c r="N7" s="264">
        <v>37037000000</v>
      </c>
      <c r="O7" s="264">
        <v>41733000000</v>
      </c>
      <c r="P7" s="264">
        <v>25922000000</v>
      </c>
      <c r="Q7" s="264">
        <v>14013000000</v>
      </c>
      <c r="R7" s="264">
        <v>8235000000</v>
      </c>
      <c r="S7" s="264">
        <v>6119000000</v>
      </c>
      <c r="T7" s="264">
        <v>3496000000</v>
      </c>
    </row>
    <row r="8" spans="1:20" x14ac:dyDescent="0.3">
      <c r="A8" s="261" t="s">
        <v>157</v>
      </c>
      <c r="B8" s="261">
        <v>11698000000</v>
      </c>
      <c r="C8" s="261">
        <v>11445000000</v>
      </c>
      <c r="D8" s="261">
        <v>11519000000</v>
      </c>
      <c r="E8" s="261">
        <v>11104000000</v>
      </c>
      <c r="F8" s="261">
        <v>11284000000</v>
      </c>
      <c r="G8" s="261">
        <v>11056000000</v>
      </c>
      <c r="H8" s="261">
        <v>12547000000</v>
      </c>
      <c r="I8" s="261">
        <v>10903000000</v>
      </c>
      <c r="J8" s="261">
        <v>10157000000</v>
      </c>
      <c r="K8" s="261">
        <v>10505000000</v>
      </c>
      <c r="L8" s="261">
        <v>11257000000</v>
      </c>
      <c r="M8" s="261">
        <v>7946000000</v>
      </c>
      <c r="N8" s="261">
        <v>6757000000</v>
      </c>
      <c r="O8" s="261">
        <v>3277000000</v>
      </c>
      <c r="P8" s="261">
        <v>1814000000</v>
      </c>
      <c r="Q8" s="261">
        <v>1027000000</v>
      </c>
      <c r="R8" s="261">
        <v>734000000</v>
      </c>
      <c r="S8" s="261">
        <v>496000000</v>
      </c>
      <c r="T8" s="261">
        <v>317000000</v>
      </c>
    </row>
    <row r="9" spans="1:20" x14ac:dyDescent="0.3">
      <c r="A9" s="261" t="s">
        <v>197</v>
      </c>
      <c r="B9" s="261">
        <v>0</v>
      </c>
      <c r="C9" s="261">
        <v>0</v>
      </c>
      <c r="D9" s="261">
        <v>0</v>
      </c>
      <c r="E9" s="261">
        <v>895000000</v>
      </c>
      <c r="F9" s="261">
        <v>-4774000000</v>
      </c>
      <c r="G9" s="261">
        <v>-215000000</v>
      </c>
      <c r="H9" s="261">
        <v>-340000000</v>
      </c>
      <c r="I9" s="261">
        <v>-32590000000</v>
      </c>
      <c r="J9" s="261">
        <v>5966000000</v>
      </c>
      <c r="K9" s="261">
        <v>4938000000</v>
      </c>
      <c r="L9" s="261">
        <v>1382000000</v>
      </c>
      <c r="M9" s="261">
        <v>2347000000</v>
      </c>
      <c r="N9" s="261">
        <v>1141000000</v>
      </c>
      <c r="O9" s="261">
        <v>4405000000</v>
      </c>
      <c r="P9" s="261">
        <v>2868000000</v>
      </c>
      <c r="Q9" s="261">
        <v>1440000000</v>
      </c>
      <c r="R9" s="261">
        <v>1040000000</v>
      </c>
      <c r="S9" s="261">
        <v>398000000</v>
      </c>
      <c r="T9" s="261">
        <v>78000000</v>
      </c>
    </row>
    <row r="10" spans="1:20" x14ac:dyDescent="0.3">
      <c r="A10" s="261" t="s">
        <v>198</v>
      </c>
      <c r="B10" s="261">
        <v>12863000000</v>
      </c>
      <c r="C10" s="261">
        <v>11688000000</v>
      </c>
      <c r="D10" s="261">
        <v>10833000000</v>
      </c>
      <c r="E10" s="261">
        <v>9038000000</v>
      </c>
      <c r="F10" s="261">
        <v>7906000000</v>
      </c>
      <c r="G10" s="261">
        <v>6829000000</v>
      </c>
      <c r="H10" s="261">
        <v>6068000000</v>
      </c>
      <c r="I10" s="261">
        <v>5340000000</v>
      </c>
      <c r="J10" s="261">
        <v>4840000000</v>
      </c>
      <c r="K10" s="261">
        <v>4210000000</v>
      </c>
      <c r="L10" s="261">
        <v>3586000000</v>
      </c>
      <c r="M10" s="261">
        <v>2863000000</v>
      </c>
      <c r="N10" s="261">
        <v>2253000000</v>
      </c>
      <c r="O10" s="261">
        <v>1740000000</v>
      </c>
      <c r="P10" s="261">
        <v>1168000000</v>
      </c>
      <c r="Q10" s="261">
        <v>879000000</v>
      </c>
      <c r="R10" s="261">
        <v>710000000</v>
      </c>
      <c r="S10" s="261">
        <v>516000000</v>
      </c>
      <c r="T10" s="261">
        <v>242000000</v>
      </c>
    </row>
    <row r="11" spans="1:20" x14ac:dyDescent="0.3">
      <c r="A11" s="261" t="s">
        <v>199</v>
      </c>
      <c r="B11" s="261">
        <v>-25000000000</v>
      </c>
      <c r="C11" s="261">
        <v>3651000000</v>
      </c>
      <c r="D11" s="261">
        <v>-6577000000</v>
      </c>
      <c r="E11" s="261">
        <v>1200000000</v>
      </c>
      <c r="F11" s="261">
        <v>-4911000000</v>
      </c>
      <c r="G11" s="261">
        <v>5690000000</v>
      </c>
      <c r="H11" s="261">
        <v>-3488000000</v>
      </c>
      <c r="I11" s="261">
        <v>34694000000</v>
      </c>
      <c r="J11" s="261">
        <v>-4923000000</v>
      </c>
      <c r="K11" s="261">
        <v>405000000</v>
      </c>
      <c r="L11" s="261">
        <v>11262000000</v>
      </c>
      <c r="M11" s="261">
        <v>7047000000</v>
      </c>
      <c r="N11" s="261">
        <v>6478000000</v>
      </c>
      <c r="O11" s="261">
        <v>-299000000</v>
      </c>
      <c r="P11" s="261">
        <v>5757000000</v>
      </c>
      <c r="Q11" s="261">
        <v>1236000000</v>
      </c>
      <c r="R11" s="261">
        <v>-586000000</v>
      </c>
      <c r="S11" s="261">
        <v>2045000000</v>
      </c>
      <c r="T11" s="261">
        <v>1325000000</v>
      </c>
    </row>
    <row r="12" spans="1:20" x14ac:dyDescent="0.3">
      <c r="A12" s="261" t="s">
        <v>200</v>
      </c>
      <c r="B12" s="261">
        <v>-7029000000</v>
      </c>
      <c r="C12" s="261">
        <v>-5144000000</v>
      </c>
      <c r="D12" s="261">
        <v>-417000000</v>
      </c>
      <c r="E12" s="261">
        <v>-9343000000</v>
      </c>
      <c r="F12" s="261">
        <v>-14028000000</v>
      </c>
      <c r="G12" s="261">
        <v>8470000000</v>
      </c>
      <c r="H12" s="261">
        <v>3176000000</v>
      </c>
      <c r="I12" s="261">
        <v>-13332000000</v>
      </c>
      <c r="J12" s="261">
        <v>-6347000000</v>
      </c>
      <c r="K12" s="261">
        <v>476000000</v>
      </c>
      <c r="L12" s="261">
        <v>-3318000000</v>
      </c>
      <c r="M12" s="261">
        <v>-6452000000</v>
      </c>
      <c r="N12" s="261">
        <v>-1949000000</v>
      </c>
      <c r="O12" s="261">
        <v>-6965000000</v>
      </c>
      <c r="P12" s="261">
        <v>-1791000000</v>
      </c>
      <c r="Q12" s="261">
        <v>-4860000000</v>
      </c>
      <c r="R12" s="261">
        <v>-353000000</v>
      </c>
      <c r="S12" s="261">
        <v>-675000000</v>
      </c>
      <c r="T12" s="261">
        <v>-385000000</v>
      </c>
    </row>
    <row r="13" spans="1:20" x14ac:dyDescent="0.3">
      <c r="A13" s="261" t="s">
        <v>168</v>
      </c>
      <c r="B13" s="261">
        <v>1400000000</v>
      </c>
      <c r="C13" s="261">
        <v>-1046000000</v>
      </c>
      <c r="D13" s="261">
        <v>-1618000000</v>
      </c>
      <c r="E13" s="261">
        <v>1484000000</v>
      </c>
      <c r="F13" s="261">
        <v>-2642000000</v>
      </c>
      <c r="G13" s="261">
        <v>-127000000</v>
      </c>
      <c r="H13" s="261">
        <v>-289000000</v>
      </c>
      <c r="I13" s="261">
        <v>828000000</v>
      </c>
      <c r="J13" s="261">
        <v>-2723000000</v>
      </c>
      <c r="K13" s="261">
        <v>217000000</v>
      </c>
      <c r="L13" s="261">
        <v>-238000000</v>
      </c>
      <c r="M13" s="261">
        <v>-76000000</v>
      </c>
      <c r="N13" s="261">
        <v>-973000000</v>
      </c>
      <c r="O13" s="261">
        <v>-15000000</v>
      </c>
      <c r="P13" s="261">
        <v>275000000</v>
      </c>
      <c r="Q13" s="261">
        <v>-596000000</v>
      </c>
      <c r="R13" s="261">
        <v>54000000</v>
      </c>
      <c r="S13" s="261">
        <v>-163000000</v>
      </c>
      <c r="T13" s="261">
        <v>-76000000</v>
      </c>
    </row>
    <row r="14" spans="1:20" x14ac:dyDescent="0.3">
      <c r="A14" s="261" t="s">
        <v>201</v>
      </c>
      <c r="B14" s="261">
        <v>902000000</v>
      </c>
      <c r="C14" s="261">
        <v>6020000000</v>
      </c>
      <c r="D14" s="261">
        <v>-1889000000</v>
      </c>
      <c r="E14" s="261">
        <v>9448000000</v>
      </c>
      <c r="F14" s="261">
        <v>12326000000</v>
      </c>
      <c r="G14" s="261">
        <v>-4062000000</v>
      </c>
      <c r="H14" s="261">
        <v>-1923000000</v>
      </c>
      <c r="I14" s="261">
        <v>9175000000</v>
      </c>
      <c r="J14" s="261">
        <v>8966000000</v>
      </c>
      <c r="K14" s="261">
        <v>2117000000</v>
      </c>
      <c r="L14" s="261">
        <v>5001000000</v>
      </c>
      <c r="M14" s="261">
        <v>5938000000</v>
      </c>
      <c r="N14" s="261">
        <v>2340000000</v>
      </c>
      <c r="O14" s="261">
        <v>4467000000</v>
      </c>
      <c r="P14" s="261">
        <v>2515000000</v>
      </c>
      <c r="Q14" s="261">
        <v>6307000000</v>
      </c>
      <c r="R14" s="261">
        <v>92000000</v>
      </c>
      <c r="S14" s="261">
        <v>596000000</v>
      </c>
      <c r="T14" s="261">
        <v>1494000000</v>
      </c>
    </row>
    <row r="15" spans="1:20" x14ac:dyDescent="0.3">
      <c r="A15" s="261" t="s">
        <v>202</v>
      </c>
      <c r="B15" s="261">
        <v>-20273000000</v>
      </c>
      <c r="C15" s="261">
        <v>3821000000</v>
      </c>
      <c r="D15" s="261">
        <v>-2653000000</v>
      </c>
      <c r="E15" s="261">
        <v>-389000000</v>
      </c>
      <c r="F15" s="261">
        <v>-567000000</v>
      </c>
      <c r="G15" s="261">
        <v>1409000000</v>
      </c>
      <c r="H15" s="261">
        <v>-4452000000</v>
      </c>
      <c r="I15" s="261">
        <v>38023000000</v>
      </c>
      <c r="J15" s="261">
        <v>-4819000000</v>
      </c>
      <c r="K15" s="261">
        <v>-2405000000</v>
      </c>
      <c r="L15" s="261">
        <v>9817000000</v>
      </c>
      <c r="M15" s="261">
        <v>7637000000</v>
      </c>
      <c r="N15" s="261">
        <v>7060000000</v>
      </c>
      <c r="O15" s="261">
        <v>2214000000</v>
      </c>
      <c r="P15" s="261">
        <v>4758000000</v>
      </c>
      <c r="Q15" s="261">
        <v>385000000</v>
      </c>
      <c r="R15" s="261">
        <v>-379000000</v>
      </c>
      <c r="S15" s="261">
        <v>2287000000</v>
      </c>
      <c r="T15" s="261">
        <v>292000000</v>
      </c>
    </row>
    <row r="16" spans="1:20" x14ac:dyDescent="0.3">
      <c r="A16" s="261" t="s">
        <v>203</v>
      </c>
      <c r="B16" s="261">
        <v>-89000000</v>
      </c>
      <c r="C16" s="261">
        <v>-2266000000</v>
      </c>
      <c r="D16" s="261">
        <v>-2227000000</v>
      </c>
      <c r="E16" s="261">
        <v>111000000</v>
      </c>
      <c r="F16" s="261">
        <v>-147000000</v>
      </c>
      <c r="G16" s="261">
        <v>-97000000</v>
      </c>
      <c r="H16" s="261">
        <v>-652000000</v>
      </c>
      <c r="I16" s="261">
        <v>-444000000</v>
      </c>
      <c r="J16" s="261">
        <v>-166000000</v>
      </c>
      <c r="K16" s="261">
        <v>486000000</v>
      </c>
      <c r="L16" s="261">
        <v>385000000</v>
      </c>
      <c r="M16" s="261">
        <v>0</v>
      </c>
      <c r="N16" s="261">
        <v>0</v>
      </c>
      <c r="O16" s="261">
        <v>0</v>
      </c>
      <c r="P16" s="261">
        <v>0</v>
      </c>
      <c r="Q16" s="261">
        <v>0</v>
      </c>
      <c r="R16" s="261">
        <v>26000000</v>
      </c>
      <c r="S16" s="261">
        <v>22000000</v>
      </c>
      <c r="T16" s="261">
        <v>12000000</v>
      </c>
    </row>
    <row r="17" spans="1:20" x14ac:dyDescent="0.3">
      <c r="A17" s="265" t="s">
        <v>204</v>
      </c>
      <c r="B17" s="263">
        <v>111482000000</v>
      </c>
      <c r="C17" s="263">
        <v>118254000000</v>
      </c>
      <c r="D17" s="263">
        <v>110543000000</v>
      </c>
      <c r="E17" s="263">
        <v>122151000000</v>
      </c>
      <c r="F17" s="263">
        <v>104038000000</v>
      </c>
      <c r="G17" s="263">
        <v>80674000000</v>
      </c>
      <c r="H17" s="263">
        <v>69391000000</v>
      </c>
      <c r="I17" s="263">
        <v>77434000000</v>
      </c>
      <c r="J17" s="263">
        <v>64225000000</v>
      </c>
      <c r="K17" s="263">
        <v>66231000000</v>
      </c>
      <c r="L17" s="263">
        <v>81266000000</v>
      </c>
      <c r="M17" s="263">
        <v>59713000000</v>
      </c>
      <c r="N17" s="263">
        <v>53666000000</v>
      </c>
      <c r="O17" s="263">
        <v>50856000000</v>
      </c>
      <c r="P17" s="263">
        <v>37529000000</v>
      </c>
      <c r="Q17" s="263">
        <v>18595000000</v>
      </c>
      <c r="R17" s="263">
        <v>10159000000</v>
      </c>
      <c r="S17" s="263">
        <v>9596000000</v>
      </c>
      <c r="T17" s="263">
        <v>5470000000</v>
      </c>
    </row>
    <row r="19" spans="1:20" x14ac:dyDescent="0.3">
      <c r="A19" s="261" t="s">
        <v>205</v>
      </c>
      <c r="B19" s="261">
        <v>-12715000000</v>
      </c>
      <c r="C19" s="261">
        <v>-9447000000</v>
      </c>
      <c r="D19" s="261">
        <v>-10959000000</v>
      </c>
      <c r="E19" s="261">
        <v>-10708000000</v>
      </c>
      <c r="F19" s="261">
        <v>-11085000000</v>
      </c>
      <c r="G19" s="261">
        <v>-7309000000</v>
      </c>
      <c r="H19" s="261">
        <v>-10495000000</v>
      </c>
      <c r="I19" s="261">
        <v>-13313000000</v>
      </c>
      <c r="J19" s="261">
        <v>-12795000000</v>
      </c>
      <c r="K19" s="261">
        <v>-13548000000</v>
      </c>
      <c r="L19" s="261">
        <v>-11488000000</v>
      </c>
      <c r="M19" s="261">
        <v>-9813000000</v>
      </c>
      <c r="N19" s="261">
        <v>-9076000000</v>
      </c>
      <c r="O19" s="261">
        <v>-9402000000</v>
      </c>
      <c r="P19" s="261">
        <v>-7452000000</v>
      </c>
      <c r="Q19" s="261">
        <v>-2121000000</v>
      </c>
      <c r="R19" s="261">
        <v>-1213000000</v>
      </c>
      <c r="S19" s="261">
        <v>-1199000000</v>
      </c>
      <c r="T19" s="261">
        <v>-986000000</v>
      </c>
    </row>
    <row r="20" spans="1:20" x14ac:dyDescent="0.3">
      <c r="A20" s="261" t="s">
        <v>206</v>
      </c>
      <c r="B20" s="261">
        <v>0</v>
      </c>
      <c r="C20" s="261">
        <v>0</v>
      </c>
      <c r="D20" s="261">
        <v>0</v>
      </c>
      <c r="E20" s="261">
        <v>-306000000</v>
      </c>
      <c r="F20" s="261">
        <v>-33000000</v>
      </c>
      <c r="G20" s="261">
        <v>-1524000000</v>
      </c>
      <c r="H20" s="261">
        <v>-624000000</v>
      </c>
      <c r="I20" s="261">
        <v>-721000000</v>
      </c>
      <c r="J20" s="261">
        <v>-329000000</v>
      </c>
      <c r="K20" s="261">
        <v>-297000000</v>
      </c>
      <c r="L20" s="261">
        <v>-343000000</v>
      </c>
      <c r="M20" s="261">
        <v>-3765000000</v>
      </c>
      <c r="N20" s="261">
        <v>-496000000</v>
      </c>
      <c r="O20" s="261">
        <v>-350000000</v>
      </c>
      <c r="P20" s="261">
        <v>-244000000</v>
      </c>
      <c r="Q20" s="261">
        <v>-638000000</v>
      </c>
      <c r="R20" s="261">
        <v>0</v>
      </c>
      <c r="S20" s="261">
        <v>-220000000</v>
      </c>
      <c r="T20" s="261">
        <v>0</v>
      </c>
    </row>
    <row r="21" spans="1:20" x14ac:dyDescent="0.3">
      <c r="A21" s="261" t="s">
        <v>207</v>
      </c>
      <c r="B21" s="261">
        <v>-24407000000</v>
      </c>
      <c r="C21" s="261">
        <v>-48656000000</v>
      </c>
      <c r="D21" s="261">
        <v>-29513000000</v>
      </c>
      <c r="E21" s="261">
        <v>-76923000000</v>
      </c>
      <c r="F21" s="261">
        <v>-109558000000</v>
      </c>
      <c r="G21" s="261">
        <v>-114938000000</v>
      </c>
      <c r="H21" s="261">
        <v>-40631000000</v>
      </c>
      <c r="I21" s="261">
        <v>-73227000000</v>
      </c>
      <c r="J21" s="261">
        <v>-160007000000</v>
      </c>
      <c r="K21" s="261">
        <v>-143816000000</v>
      </c>
      <c r="L21" s="261">
        <v>-166402000000</v>
      </c>
      <c r="M21" s="261">
        <v>-217138000000</v>
      </c>
      <c r="N21" s="261">
        <v>-148489000000</v>
      </c>
      <c r="O21" s="261">
        <v>-151232000000</v>
      </c>
      <c r="P21" s="261">
        <v>-102317000000</v>
      </c>
      <c r="Q21" s="261">
        <v>-57793000000</v>
      </c>
      <c r="R21" s="261">
        <v>-46825000000</v>
      </c>
      <c r="S21" s="261">
        <v>-23003000000</v>
      </c>
      <c r="T21" s="261">
        <v>-11736000000</v>
      </c>
    </row>
    <row r="22" spans="1:20" x14ac:dyDescent="0.3">
      <c r="A22" s="261" t="s">
        <v>208</v>
      </c>
      <c r="B22" s="261">
        <v>53797000000</v>
      </c>
      <c r="C22" s="261">
        <v>62346000000</v>
      </c>
      <c r="D22" s="261">
        <v>45514000000</v>
      </c>
      <c r="E22" s="261">
        <v>67363000000</v>
      </c>
      <c r="F22" s="261">
        <v>106483000000</v>
      </c>
      <c r="G22" s="261">
        <v>120391000000</v>
      </c>
      <c r="H22" s="261">
        <v>98724000000</v>
      </c>
      <c r="I22" s="261">
        <v>104072000000</v>
      </c>
      <c r="J22" s="261">
        <v>126465000000</v>
      </c>
      <c r="K22" s="261">
        <v>111794000000</v>
      </c>
      <c r="L22" s="261">
        <v>121985000000</v>
      </c>
      <c r="M22" s="261">
        <v>208111000000</v>
      </c>
      <c r="N22" s="261">
        <v>124447000000</v>
      </c>
      <c r="O22" s="261">
        <v>112805000000</v>
      </c>
      <c r="P22" s="261">
        <v>69853000000</v>
      </c>
      <c r="Q22" s="261">
        <v>46718000000</v>
      </c>
      <c r="R22" s="261">
        <v>30678000000</v>
      </c>
      <c r="S22" s="261">
        <v>16243000000</v>
      </c>
      <c r="T22" s="261">
        <v>9424000000</v>
      </c>
    </row>
    <row r="23" spans="1:20" x14ac:dyDescent="0.3">
      <c r="A23" s="261" t="s">
        <v>342</v>
      </c>
      <c r="B23" s="261">
        <v>-1480000000</v>
      </c>
      <c r="C23" s="261">
        <v>-1308000000</v>
      </c>
      <c r="D23" s="261">
        <v>-1337000000</v>
      </c>
      <c r="E23" s="261">
        <v>-1780000000</v>
      </c>
      <c r="F23" s="261">
        <v>-352000000</v>
      </c>
      <c r="G23" s="261">
        <v>-909000000</v>
      </c>
      <c r="H23" s="261">
        <v>-1078000000</v>
      </c>
      <c r="I23" s="261">
        <v>-745000000</v>
      </c>
      <c r="J23" s="261">
        <v>-124000000</v>
      </c>
      <c r="K23" s="261">
        <v>-924000000</v>
      </c>
      <c r="L23" s="261">
        <v>-26000000</v>
      </c>
      <c r="M23" s="261">
        <v>26000000</v>
      </c>
      <c r="N23" s="261">
        <v>-160000000</v>
      </c>
      <c r="O23" s="261">
        <v>-48000000</v>
      </c>
      <c r="P23" s="261">
        <v>-259000000</v>
      </c>
      <c r="Q23" s="261">
        <v>-20000000</v>
      </c>
      <c r="R23" s="261">
        <v>-74000000</v>
      </c>
      <c r="S23" s="261">
        <v>-10000000</v>
      </c>
      <c r="T23" s="261">
        <v>49000000</v>
      </c>
    </row>
    <row r="24" spans="1:20" x14ac:dyDescent="0.3">
      <c r="A24" s="265" t="s">
        <v>341</v>
      </c>
      <c r="B24" s="263">
        <v>15195000000</v>
      </c>
      <c r="C24" s="263">
        <v>2935000000</v>
      </c>
      <c r="D24" s="263">
        <v>3705000000</v>
      </c>
      <c r="E24" s="263">
        <v>-22354000000</v>
      </c>
      <c r="F24" s="263">
        <v>-14545000000</v>
      </c>
      <c r="G24" s="263">
        <v>-4289000000</v>
      </c>
      <c r="H24" s="263">
        <v>45896000000</v>
      </c>
      <c r="I24" s="263">
        <v>16066000000</v>
      </c>
      <c r="J24" s="263">
        <v>-46446000000</v>
      </c>
      <c r="K24" s="263">
        <v>-45977000000</v>
      </c>
      <c r="L24" s="263">
        <v>-56274000000</v>
      </c>
      <c r="M24" s="263">
        <v>-22579000000</v>
      </c>
      <c r="N24" s="263">
        <v>-33774000000</v>
      </c>
      <c r="O24" s="263">
        <v>-48227000000</v>
      </c>
      <c r="P24" s="263">
        <v>-40419000000</v>
      </c>
      <c r="Q24" s="263">
        <v>-13854000000</v>
      </c>
      <c r="R24" s="263">
        <v>-17434000000</v>
      </c>
      <c r="S24" s="263">
        <v>-8189000000</v>
      </c>
      <c r="T24" s="263">
        <v>-3249000000</v>
      </c>
    </row>
    <row r="26" spans="1:20" x14ac:dyDescent="0.3">
      <c r="A26" s="261" t="s">
        <v>211</v>
      </c>
      <c r="B26" s="261">
        <v>-8483000000</v>
      </c>
      <c r="C26" s="261">
        <v>-5998000000</v>
      </c>
      <c r="D26" s="261">
        <v>-9901000000</v>
      </c>
      <c r="E26" s="261">
        <v>-123000000</v>
      </c>
      <c r="F26" s="261">
        <v>12665000000</v>
      </c>
      <c r="G26" s="261">
        <v>2499000000</v>
      </c>
      <c r="H26" s="261">
        <v>-7819000000</v>
      </c>
      <c r="I26" s="261">
        <v>432000000</v>
      </c>
      <c r="J26" s="261">
        <v>25162000000</v>
      </c>
      <c r="K26" s="261">
        <v>22057000000</v>
      </c>
      <c r="L26" s="261">
        <v>29305000000</v>
      </c>
      <c r="M26" s="261">
        <v>11960000000</v>
      </c>
      <c r="N26" s="261">
        <v>16896000000</v>
      </c>
      <c r="O26" s="261">
        <v>0</v>
      </c>
      <c r="P26" s="261">
        <v>0</v>
      </c>
      <c r="Q26" s="261">
        <v>0</v>
      </c>
      <c r="R26" s="261">
        <v>0</v>
      </c>
      <c r="S26" s="261">
        <v>0</v>
      </c>
      <c r="T26" s="261">
        <v>0</v>
      </c>
    </row>
    <row r="27" spans="1:20" x14ac:dyDescent="0.3">
      <c r="A27" s="261" t="s">
        <v>212</v>
      </c>
      <c r="B27" s="261">
        <v>0</v>
      </c>
      <c r="C27" s="261">
        <v>0</v>
      </c>
      <c r="D27" s="261">
        <v>0</v>
      </c>
      <c r="E27" s="261">
        <v>0</v>
      </c>
      <c r="F27" s="261">
        <v>1105000000</v>
      </c>
      <c r="G27" s="261">
        <v>880000000</v>
      </c>
      <c r="H27" s="261">
        <v>781000000</v>
      </c>
      <c r="I27" s="261">
        <v>669000000</v>
      </c>
      <c r="J27" s="261">
        <v>555000000</v>
      </c>
      <c r="K27" s="261">
        <v>495000000</v>
      </c>
      <c r="L27" s="261">
        <v>543000000</v>
      </c>
      <c r="M27" s="261">
        <v>730000000</v>
      </c>
      <c r="N27" s="261">
        <v>530000000</v>
      </c>
      <c r="O27" s="261">
        <v>665000000</v>
      </c>
      <c r="P27" s="261">
        <v>831000000</v>
      </c>
      <c r="Q27" s="261">
        <v>912000000</v>
      </c>
      <c r="R27" s="261">
        <v>475000000</v>
      </c>
      <c r="S27" s="261">
        <v>483000000</v>
      </c>
      <c r="T27" s="261">
        <v>365000000</v>
      </c>
    </row>
    <row r="28" spans="1:20" x14ac:dyDescent="0.3">
      <c r="A28" s="261" t="s">
        <v>213</v>
      </c>
      <c r="B28" s="261">
        <v>-90711000000</v>
      </c>
      <c r="C28" s="261">
        <v>-94949000000</v>
      </c>
      <c r="D28" s="261">
        <v>-77550000000</v>
      </c>
      <c r="E28" s="261">
        <v>-89402000000</v>
      </c>
      <c r="F28" s="261">
        <v>-85971000000</v>
      </c>
      <c r="G28" s="261">
        <v>-72358000000</v>
      </c>
      <c r="H28" s="261">
        <v>-66897000000</v>
      </c>
      <c r="I28" s="261">
        <v>-72738000000</v>
      </c>
      <c r="J28" s="261">
        <v>-32900000000</v>
      </c>
      <c r="K28" s="261">
        <v>-29722000000</v>
      </c>
      <c r="L28" s="261">
        <v>-35253000000</v>
      </c>
      <c r="M28" s="261">
        <v>-45000000000</v>
      </c>
      <c r="N28" s="261">
        <v>-22860000000</v>
      </c>
      <c r="O28" s="261">
        <v>0</v>
      </c>
      <c r="P28" s="261">
        <v>0</v>
      </c>
      <c r="Q28" s="261">
        <v>0</v>
      </c>
      <c r="R28" s="261">
        <v>0</v>
      </c>
      <c r="S28" s="261">
        <v>0</v>
      </c>
      <c r="T28" s="261">
        <v>-3000000</v>
      </c>
    </row>
    <row r="29" spans="1:20" x14ac:dyDescent="0.3">
      <c r="A29" s="261" t="s">
        <v>214</v>
      </c>
      <c r="B29" s="261">
        <v>-15421000000</v>
      </c>
      <c r="C29" s="261">
        <v>-15234000000</v>
      </c>
      <c r="D29" s="261">
        <v>-15025000000</v>
      </c>
      <c r="E29" s="261">
        <v>-14841000000</v>
      </c>
      <c r="F29" s="261">
        <v>-14467000000</v>
      </c>
      <c r="G29" s="261">
        <v>-14081000000</v>
      </c>
      <c r="H29" s="261">
        <v>-14119000000</v>
      </c>
      <c r="I29" s="261">
        <v>-13712000000</v>
      </c>
      <c r="J29" s="261">
        <v>-12769000000</v>
      </c>
      <c r="K29" s="261">
        <v>-12150000000</v>
      </c>
      <c r="L29" s="261">
        <v>-11561000000</v>
      </c>
      <c r="M29" s="261">
        <v>-11126000000</v>
      </c>
      <c r="N29" s="261">
        <v>-10564000000</v>
      </c>
      <c r="O29" s="261">
        <v>-2488000000</v>
      </c>
      <c r="P29" s="261">
        <v>0</v>
      </c>
      <c r="Q29" s="261">
        <v>0</v>
      </c>
      <c r="R29" s="261">
        <v>0</v>
      </c>
      <c r="S29" s="261">
        <v>0</v>
      </c>
      <c r="T29" s="261">
        <v>0</v>
      </c>
    </row>
    <row r="30" spans="1:20" x14ac:dyDescent="0.3">
      <c r="A30" s="261" t="s">
        <v>340</v>
      </c>
      <c r="B30" s="261">
        <v>-6071000000</v>
      </c>
      <c r="C30" s="261">
        <v>-5802000000</v>
      </c>
      <c r="D30" s="261">
        <v>-6012000000</v>
      </c>
      <c r="E30" s="261">
        <v>-6383000000</v>
      </c>
      <c r="F30" s="261">
        <v>-6685000000</v>
      </c>
      <c r="G30" s="261">
        <v>-3760000000</v>
      </c>
      <c r="H30" s="261">
        <v>-2922000000</v>
      </c>
      <c r="I30" s="261">
        <v>-2527000000</v>
      </c>
      <c r="J30" s="261">
        <v>1978000000</v>
      </c>
      <c r="K30" s="261">
        <v>-1570000000</v>
      </c>
      <c r="L30" s="261">
        <v>-750000000</v>
      </c>
      <c r="M30" s="261">
        <v>5887000000</v>
      </c>
      <c r="N30" s="261">
        <v>-381000000</v>
      </c>
      <c r="O30" s="261">
        <v>125000000</v>
      </c>
      <c r="P30" s="261">
        <v>613000000</v>
      </c>
      <c r="Q30" s="261">
        <v>345000000</v>
      </c>
      <c r="R30" s="261">
        <v>188000000</v>
      </c>
      <c r="S30" s="261">
        <v>633000000</v>
      </c>
      <c r="T30" s="261">
        <v>374000000</v>
      </c>
    </row>
    <row r="31" spans="1:20" x14ac:dyDescent="0.3">
      <c r="A31" s="265" t="s">
        <v>216</v>
      </c>
      <c r="B31" s="263">
        <v>-120686000000</v>
      </c>
      <c r="C31" s="263">
        <v>-121983000000</v>
      </c>
      <c r="D31" s="263">
        <v>-108488000000</v>
      </c>
      <c r="E31" s="263">
        <v>-110749000000</v>
      </c>
      <c r="F31" s="263">
        <v>-93353000000</v>
      </c>
      <c r="G31" s="263">
        <v>-86820000000</v>
      </c>
      <c r="H31" s="263">
        <v>-90976000000</v>
      </c>
      <c r="I31" s="263">
        <v>-87876000000</v>
      </c>
      <c r="J31" s="263">
        <v>-17974000000</v>
      </c>
      <c r="K31" s="263">
        <v>-20890000000</v>
      </c>
      <c r="L31" s="263">
        <v>-17716000000</v>
      </c>
      <c r="M31" s="263">
        <v>-37549000000</v>
      </c>
      <c r="N31" s="263">
        <v>-16379000000</v>
      </c>
      <c r="O31" s="263">
        <v>-1698000000</v>
      </c>
      <c r="P31" s="263">
        <v>1444000000</v>
      </c>
      <c r="Q31" s="263">
        <v>1257000000</v>
      </c>
      <c r="R31" s="263">
        <v>663000000</v>
      </c>
      <c r="S31" s="263">
        <v>1116000000</v>
      </c>
      <c r="T31" s="263">
        <v>739000000</v>
      </c>
    </row>
    <row r="33" spans="1:20" x14ac:dyDescent="0.3">
      <c r="A33" s="261" t="s">
        <v>217</v>
      </c>
      <c r="B33" s="261">
        <v>0</v>
      </c>
      <c r="C33" s="261">
        <v>0</v>
      </c>
      <c r="D33" s="261">
        <v>0</v>
      </c>
      <c r="E33" s="261">
        <v>0</v>
      </c>
      <c r="F33" s="261">
        <v>0</v>
      </c>
      <c r="G33" s="261">
        <v>0</v>
      </c>
      <c r="H33" s="261">
        <v>0</v>
      </c>
      <c r="I33" s="261">
        <v>0</v>
      </c>
      <c r="J33" s="261">
        <v>0</v>
      </c>
      <c r="K33" s="261">
        <v>0</v>
      </c>
      <c r="L33" s="261">
        <v>0</v>
      </c>
      <c r="M33" s="261">
        <v>0</v>
      </c>
      <c r="N33" s="261">
        <v>0</v>
      </c>
      <c r="O33" s="261">
        <v>0</v>
      </c>
      <c r="P33" s="261">
        <v>0</v>
      </c>
      <c r="Q33" s="261">
        <v>0</v>
      </c>
      <c r="R33" s="261">
        <v>0</v>
      </c>
      <c r="S33" s="261">
        <v>0</v>
      </c>
      <c r="T33" s="261">
        <v>0</v>
      </c>
    </row>
    <row r="34" spans="1:20" x14ac:dyDescent="0.3">
      <c r="A34" s="261" t="s">
        <v>218</v>
      </c>
      <c r="B34" s="261">
        <v>5991000000</v>
      </c>
      <c r="C34" s="261">
        <v>-794000000</v>
      </c>
      <c r="D34" s="261">
        <v>5760000000</v>
      </c>
      <c r="E34" s="261">
        <v>-10952000000</v>
      </c>
      <c r="F34" s="261">
        <v>-3860000000</v>
      </c>
      <c r="G34" s="261">
        <v>-10435000000</v>
      </c>
      <c r="H34" s="261">
        <v>24311000000</v>
      </c>
      <c r="I34" s="261">
        <v>5624000000</v>
      </c>
      <c r="J34" s="261">
        <v>-195000000</v>
      </c>
      <c r="K34" s="261">
        <v>-636000000</v>
      </c>
      <c r="L34" s="261">
        <v>7276000000</v>
      </c>
      <c r="M34" s="261">
        <v>-415000000</v>
      </c>
      <c r="N34" s="261">
        <v>3513000000</v>
      </c>
      <c r="O34" s="261">
        <v>931000000</v>
      </c>
      <c r="P34" s="261">
        <v>-1446000000</v>
      </c>
      <c r="Q34" s="261">
        <v>5998000000</v>
      </c>
      <c r="R34" s="261">
        <v>-6612000000</v>
      </c>
      <c r="S34" s="261">
        <v>2523000000</v>
      </c>
      <c r="T34" s="261">
        <v>2960000000</v>
      </c>
    </row>
    <row r="35" spans="1:20" x14ac:dyDescent="0.3">
      <c r="A35" s="261" t="s">
        <v>219</v>
      </c>
      <c r="B35" s="261">
        <v>35934000000</v>
      </c>
      <c r="C35" s="261">
        <v>29943000000</v>
      </c>
      <c r="D35" s="261">
        <v>30737000000</v>
      </c>
      <c r="E35" s="261">
        <v>24977000000</v>
      </c>
      <c r="F35" s="261">
        <v>35929000000</v>
      </c>
      <c r="G35" s="261">
        <v>39789000000</v>
      </c>
      <c r="H35" s="261">
        <v>50224000000</v>
      </c>
      <c r="I35" s="261">
        <v>25913000000</v>
      </c>
      <c r="J35" s="261">
        <v>20289000000</v>
      </c>
      <c r="K35" s="261">
        <v>20484000000</v>
      </c>
      <c r="L35" s="261">
        <v>21120000000</v>
      </c>
      <c r="M35" s="261">
        <v>13844000000</v>
      </c>
      <c r="N35" s="261">
        <v>14259000000</v>
      </c>
      <c r="O35" s="261">
        <v>10746000000</v>
      </c>
      <c r="P35" s="261">
        <v>9815000000</v>
      </c>
      <c r="Q35" s="261">
        <v>11261000000</v>
      </c>
      <c r="R35" s="261">
        <v>5263000000</v>
      </c>
      <c r="S35" s="261">
        <v>11875000000</v>
      </c>
      <c r="T35" s="261">
        <v>9352000000</v>
      </c>
    </row>
    <row r="36" spans="1:20" x14ac:dyDescent="0.3">
      <c r="A36" s="261" t="s">
        <v>220</v>
      </c>
      <c r="B36" s="261">
        <v>29943000000</v>
      </c>
      <c r="C36" s="261">
        <v>30737000000</v>
      </c>
      <c r="D36" s="261">
        <v>24977000000</v>
      </c>
      <c r="E36" s="261">
        <v>35929000000</v>
      </c>
      <c r="F36" s="261">
        <v>39789000000</v>
      </c>
      <c r="G36" s="261">
        <v>50224000000</v>
      </c>
      <c r="H36" s="261">
        <v>25913000000</v>
      </c>
      <c r="I36" s="261">
        <v>20289000000</v>
      </c>
      <c r="J36" s="261">
        <v>20484000000</v>
      </c>
      <c r="K36" s="261">
        <v>21120000000</v>
      </c>
      <c r="L36" s="261">
        <v>13844000000</v>
      </c>
      <c r="M36" s="261">
        <v>14259000000</v>
      </c>
      <c r="N36" s="261">
        <v>10746000000</v>
      </c>
      <c r="O36" s="261">
        <v>9815000000</v>
      </c>
      <c r="P36" s="261">
        <v>11261000000</v>
      </c>
      <c r="Q36" s="261">
        <v>5263000000</v>
      </c>
      <c r="R36" s="261">
        <v>11875000000</v>
      </c>
      <c r="S36" s="261">
        <v>9352000000</v>
      </c>
      <c r="T36" s="261">
        <v>6392000000</v>
      </c>
    </row>
    <row r="37" spans="1:20" x14ac:dyDescent="0.3">
      <c r="A37" s="261" t="s">
        <v>221</v>
      </c>
      <c r="B37" s="261">
        <v>111482000000</v>
      </c>
      <c r="C37" s="261">
        <v>118254000000</v>
      </c>
      <c r="D37" s="261">
        <v>110543000000</v>
      </c>
      <c r="E37" s="261">
        <v>122151000000</v>
      </c>
      <c r="F37" s="261">
        <v>104038000000</v>
      </c>
      <c r="G37" s="261">
        <v>80674000000</v>
      </c>
      <c r="H37" s="261">
        <v>69391000000</v>
      </c>
      <c r="I37" s="261">
        <v>77434000000</v>
      </c>
      <c r="J37" s="261">
        <v>64225000000</v>
      </c>
      <c r="K37" s="261">
        <v>66231000000</v>
      </c>
      <c r="L37" s="261">
        <v>81266000000</v>
      </c>
      <c r="M37" s="261">
        <v>59713000000</v>
      </c>
      <c r="N37" s="261">
        <v>53666000000</v>
      </c>
      <c r="O37" s="261">
        <v>50856000000</v>
      </c>
      <c r="P37" s="261">
        <v>37529000000</v>
      </c>
      <c r="Q37" s="261">
        <v>18595000000</v>
      </c>
      <c r="R37" s="261">
        <v>10159000000</v>
      </c>
      <c r="S37" s="261">
        <v>9596000000</v>
      </c>
      <c r="T37" s="261">
        <v>5470000000</v>
      </c>
    </row>
    <row r="38" spans="1:20" x14ac:dyDescent="0.3">
      <c r="A38" s="261" t="s">
        <v>222</v>
      </c>
      <c r="B38" s="261">
        <v>-12715000000</v>
      </c>
      <c r="C38" s="261">
        <v>-9447000000</v>
      </c>
      <c r="D38" s="261">
        <v>-10959000000</v>
      </c>
      <c r="E38" s="261">
        <v>-10708000000</v>
      </c>
      <c r="F38" s="261">
        <v>-11085000000</v>
      </c>
      <c r="G38" s="261">
        <v>-7309000000</v>
      </c>
      <c r="H38" s="261">
        <v>-10495000000</v>
      </c>
      <c r="I38" s="261">
        <v>-13313000000</v>
      </c>
      <c r="J38" s="261">
        <v>-12795000000</v>
      </c>
      <c r="K38" s="261">
        <v>-13548000000</v>
      </c>
      <c r="L38" s="261">
        <v>-11488000000</v>
      </c>
      <c r="M38" s="261">
        <v>-9813000000</v>
      </c>
      <c r="N38" s="261">
        <v>-9076000000</v>
      </c>
      <c r="O38" s="261">
        <v>-9402000000</v>
      </c>
      <c r="P38" s="261">
        <v>-7452000000</v>
      </c>
      <c r="Q38" s="261">
        <v>-2121000000</v>
      </c>
      <c r="R38" s="261">
        <v>-1213000000</v>
      </c>
      <c r="S38" s="261">
        <v>-1199000000</v>
      </c>
      <c r="T38" s="261">
        <v>-986000000</v>
      </c>
    </row>
    <row r="39" spans="1:20" x14ac:dyDescent="0.3">
      <c r="A39" s="265" t="s">
        <v>88</v>
      </c>
      <c r="B39" s="264">
        <v>98767000000</v>
      </c>
      <c r="C39" s="264">
        <v>108807000000</v>
      </c>
      <c r="D39" s="264">
        <v>99584000000</v>
      </c>
      <c r="E39" s="264">
        <v>111443000000</v>
      </c>
      <c r="F39" s="264">
        <v>92953000000</v>
      </c>
      <c r="G39" s="264">
        <v>73365000000</v>
      </c>
      <c r="H39" s="264">
        <v>58896000000</v>
      </c>
      <c r="I39" s="264">
        <v>64121000000</v>
      </c>
      <c r="J39" s="264">
        <v>51430000000</v>
      </c>
      <c r="K39" s="264">
        <v>52683000000</v>
      </c>
      <c r="L39" s="264">
        <v>69778000000</v>
      </c>
      <c r="M39" s="264">
        <v>49900000000</v>
      </c>
      <c r="N39" s="264">
        <v>44590000000</v>
      </c>
      <c r="O39" s="264">
        <v>41454000000</v>
      </c>
      <c r="P39" s="264">
        <v>30077000000</v>
      </c>
      <c r="Q39" s="264">
        <v>16474000000</v>
      </c>
      <c r="R39" s="264">
        <v>8946000000</v>
      </c>
      <c r="S39" s="264">
        <v>8397000000</v>
      </c>
      <c r="T39" s="264">
        <v>4484000000</v>
      </c>
    </row>
  </sheetData>
  <mergeCells count="1">
    <mergeCell ref="B4:T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A1444-0D5E-4F6B-8DF5-00BF26FC34E3}">
  <dimension ref="A1:T61"/>
  <sheetViews>
    <sheetView workbookViewId="0"/>
  </sheetViews>
  <sheetFormatPr defaultRowHeight="14.4" x14ac:dyDescent="0.3"/>
  <cols>
    <col min="1" max="1" width="38.33203125" bestFit="1" customWidth="1"/>
    <col min="2" max="9" width="19.5546875" bestFit="1" customWidth="1"/>
    <col min="10" max="10" width="19.109375" bestFit="1" customWidth="1"/>
    <col min="11" max="20" width="18.5546875" bestFit="1" customWidth="1"/>
  </cols>
  <sheetData>
    <row r="1" spans="1:20" x14ac:dyDescent="0.3">
      <c r="A1" s="268" t="s">
        <v>246</v>
      </c>
      <c r="B1" s="268"/>
      <c r="C1" s="268"/>
      <c r="D1" s="268"/>
      <c r="E1" s="268"/>
      <c r="F1" s="268"/>
      <c r="G1" s="268"/>
      <c r="H1" s="268"/>
      <c r="I1" s="268"/>
      <c r="J1" s="268"/>
      <c r="K1" s="268"/>
      <c r="L1" s="268"/>
      <c r="M1" s="268"/>
      <c r="N1" s="268"/>
      <c r="O1" s="268"/>
      <c r="P1" s="268"/>
      <c r="Q1" s="268"/>
      <c r="R1" s="268"/>
      <c r="S1" s="268"/>
      <c r="T1" s="268"/>
    </row>
    <row r="2" spans="1:20" x14ac:dyDescent="0.3">
      <c r="A2" t="s">
        <v>325</v>
      </c>
      <c r="B2" t="s">
        <v>326</v>
      </c>
    </row>
    <row r="3" spans="1:20" x14ac:dyDescent="0.3">
      <c r="A3" t="s">
        <v>327</v>
      </c>
      <c r="B3" t="str">
        <f>'AAPL - Income Statement FY'!B3</f>
        <v>USD</v>
      </c>
    </row>
    <row r="4" spans="1:20" x14ac:dyDescent="0.3">
      <c r="A4" t="s">
        <v>335</v>
      </c>
      <c r="B4" s="243" t="s">
        <v>336</v>
      </c>
      <c r="C4" s="243"/>
      <c r="D4" s="243"/>
      <c r="E4" s="243"/>
      <c r="F4" s="243"/>
      <c r="G4" s="243"/>
      <c r="H4" s="243"/>
      <c r="I4" s="243"/>
      <c r="J4" s="243"/>
      <c r="K4" s="243"/>
      <c r="L4" s="243"/>
      <c r="M4" s="243"/>
      <c r="N4" s="243"/>
      <c r="O4" s="243"/>
      <c r="P4" s="243"/>
      <c r="Q4" s="243"/>
      <c r="R4" s="243"/>
      <c r="S4" s="243"/>
      <c r="T4" s="243"/>
    </row>
    <row r="5" spans="1:20" x14ac:dyDescent="0.3">
      <c r="A5" t="s">
        <v>337</v>
      </c>
      <c r="B5" s="267">
        <v>45927</v>
      </c>
      <c r="C5" s="267">
        <v>45563</v>
      </c>
      <c r="D5" s="267">
        <v>45199</v>
      </c>
      <c r="E5" s="267">
        <v>44828</v>
      </c>
      <c r="F5" s="267">
        <v>44464</v>
      </c>
      <c r="G5" s="267">
        <v>44100</v>
      </c>
      <c r="H5" s="267">
        <v>43736</v>
      </c>
      <c r="I5" s="267">
        <v>43372</v>
      </c>
      <c r="J5" s="267">
        <v>43008</v>
      </c>
      <c r="K5" s="267">
        <v>42637</v>
      </c>
      <c r="L5" s="267">
        <v>42273</v>
      </c>
      <c r="M5" s="267">
        <v>41909</v>
      </c>
      <c r="N5" s="267">
        <v>41545</v>
      </c>
      <c r="O5" s="267">
        <v>41181</v>
      </c>
      <c r="P5" s="267">
        <v>40810</v>
      </c>
      <c r="Q5" s="267">
        <v>40446</v>
      </c>
      <c r="R5" s="267">
        <v>40082</v>
      </c>
      <c r="S5" s="267">
        <v>39718</v>
      </c>
      <c r="T5" s="267">
        <v>39354</v>
      </c>
    </row>
    <row r="6" spans="1:20" x14ac:dyDescent="0.3">
      <c r="A6" s="262" t="s">
        <v>108</v>
      </c>
      <c r="B6" s="262">
        <v>27.839649463156839</v>
      </c>
      <c r="C6" s="262">
        <v>25.484914639368924</v>
      </c>
      <c r="D6" s="262">
        <v>24.344472588086393</v>
      </c>
      <c r="E6" s="262">
        <v>24.317273047551971</v>
      </c>
      <c r="F6" s="262">
        <v>21.90354123925411</v>
      </c>
      <c r="G6" s="262">
        <v>15.820258033039078</v>
      </c>
      <c r="H6" s="262">
        <v>14.085283273500087</v>
      </c>
      <c r="I6" s="262">
        <v>13.399333693480839</v>
      </c>
      <c r="J6" s="262">
        <v>10.984443504824963</v>
      </c>
      <c r="K6" s="262">
        <v>9.8540529573263242</v>
      </c>
      <c r="L6" s="262">
        <v>10.155479670269219</v>
      </c>
      <c r="M6" s="262">
        <v>7.5093598432489177</v>
      </c>
      <c r="N6" s="262">
        <v>6.5964812282616396</v>
      </c>
      <c r="O6" s="262">
        <v>5.9793091694839378</v>
      </c>
      <c r="P6" s="262">
        <v>4.1828492134093826</v>
      </c>
      <c r="Q6" s="262">
        <v>2.5613654201064047</v>
      </c>
      <c r="R6" s="262">
        <v>1.7038151531201933</v>
      </c>
      <c r="S6" s="262">
        <v>1.3157609026786605</v>
      </c>
      <c r="T6" s="262">
        <v>0.9916276239444265</v>
      </c>
    </row>
    <row r="7" spans="1:20" x14ac:dyDescent="0.3">
      <c r="A7" s="262" t="s">
        <v>110</v>
      </c>
      <c r="B7" s="262">
        <v>7.4930595042980901</v>
      </c>
      <c r="C7" s="262">
        <v>6.1090540709549916</v>
      </c>
      <c r="D7" s="262">
        <v>6.1606692635543778</v>
      </c>
      <c r="E7" s="262">
        <v>6.1546144376377772</v>
      </c>
      <c r="F7" s="262">
        <v>5.6690292811230183</v>
      </c>
      <c r="G7" s="262">
        <v>3.3085872682177895</v>
      </c>
      <c r="H7" s="262">
        <v>2.9914457730615696</v>
      </c>
      <c r="I7" s="262">
        <v>3.0033537307050504</v>
      </c>
      <c r="J7" s="262">
        <v>2.3168850515272243</v>
      </c>
      <c r="K7" s="262">
        <v>2.0877583250774108</v>
      </c>
      <c r="L7" s="262">
        <v>2.3200979034908102</v>
      </c>
      <c r="M7" s="262">
        <v>1.6231013288479703</v>
      </c>
      <c r="N7" s="262">
        <v>1.4294884749349153</v>
      </c>
      <c r="O7" s="262">
        <v>1.5943882074403428</v>
      </c>
      <c r="P7" s="262">
        <v>1.0016519072693328</v>
      </c>
      <c r="Q7" s="262">
        <v>0.55028614230664696</v>
      </c>
      <c r="R7" s="262">
        <v>0.32934107424230197</v>
      </c>
      <c r="S7" s="262">
        <v>0.19583078923454064</v>
      </c>
      <c r="T7" s="262">
        <v>0.1443696803168279</v>
      </c>
    </row>
    <row r="8" spans="1:20" x14ac:dyDescent="0.3">
      <c r="A8" s="262" t="s">
        <v>225</v>
      </c>
      <c r="B8" s="262">
        <v>7.457738234605479</v>
      </c>
      <c r="C8" s="262">
        <v>7.7069650945923831</v>
      </c>
      <c r="D8" s="262">
        <v>7.0211749306777831</v>
      </c>
      <c r="E8" s="262">
        <v>7.5327626240883747</v>
      </c>
      <c r="F8" s="262">
        <v>6.229345884552985</v>
      </c>
      <c r="G8" s="262">
        <v>4.6492304484541629</v>
      </c>
      <c r="H8" s="262">
        <v>3.7566854936751732</v>
      </c>
      <c r="I8" s="262">
        <v>3.9065645257666572</v>
      </c>
      <c r="J8" s="262">
        <v>3.0775359854881179</v>
      </c>
      <c r="K8" s="262">
        <v>3.0265572619826644</v>
      </c>
      <c r="L8" s="262">
        <v>3.5312034353126602</v>
      </c>
      <c r="M8" s="262">
        <v>2.4530561794355568</v>
      </c>
      <c r="N8" s="262">
        <v>2.0713051406932839</v>
      </c>
      <c r="O8" s="262">
        <v>1.9429278191739408</v>
      </c>
      <c r="P8" s="262">
        <v>1.4501579518521253</v>
      </c>
      <c r="Q8" s="262">
        <v>0.73021985414915436</v>
      </c>
      <c r="R8" s="262">
        <v>0.4062873070100238</v>
      </c>
      <c r="S8" s="262">
        <v>0.38874477730547202</v>
      </c>
      <c r="T8" s="262">
        <v>0.22595197463034294</v>
      </c>
    </row>
    <row r="9" spans="1:20" x14ac:dyDescent="0.3">
      <c r="A9" s="262" t="s">
        <v>112</v>
      </c>
      <c r="B9" s="262">
        <v>6.6071512191858712</v>
      </c>
      <c r="C9" s="262">
        <v>7.091275991064264</v>
      </c>
      <c r="D9" s="262">
        <v>6.3251104483921763</v>
      </c>
      <c r="E9" s="262">
        <v>6.8724256462597992</v>
      </c>
      <c r="F9" s="262">
        <v>5.56562398361035</v>
      </c>
      <c r="G9" s="262">
        <v>4.2280138811864996</v>
      </c>
      <c r="H9" s="262">
        <v>3.1885078588792926</v>
      </c>
      <c r="I9" s="262">
        <v>3.2349203703371106</v>
      </c>
      <c r="J9" s="262">
        <v>2.4644246902865539</v>
      </c>
      <c r="K9" s="262">
        <v>2.4074544583810105</v>
      </c>
      <c r="L9" s="262">
        <v>3.0320221655950435</v>
      </c>
      <c r="M9" s="262">
        <v>2.0499305570618507</v>
      </c>
      <c r="N9" s="262">
        <v>1.721005780634173</v>
      </c>
      <c r="O9" s="262">
        <v>1.5837291532176447</v>
      </c>
      <c r="P9" s="262">
        <v>1.1622052470850908</v>
      </c>
      <c r="Q9" s="262">
        <v>0.6469288452408265</v>
      </c>
      <c r="R9" s="262">
        <v>0.35777598666322208</v>
      </c>
      <c r="S9" s="262">
        <v>0.34017193570592424</v>
      </c>
      <c r="T9" s="262">
        <v>0.18522278870977291</v>
      </c>
    </row>
    <row r="10" spans="1:20" x14ac:dyDescent="0.3">
      <c r="A10" s="262" t="s">
        <v>114</v>
      </c>
      <c r="B10" s="262">
        <v>3.6590293340468945</v>
      </c>
      <c r="C10" s="262">
        <v>4.2473880137642714</v>
      </c>
      <c r="D10" s="262">
        <v>3.9096860303942442</v>
      </c>
      <c r="E10" s="262">
        <v>2.9787931805221803</v>
      </c>
      <c r="F10" s="262">
        <v>3.7505526525165269</v>
      </c>
      <c r="G10" s="262">
        <v>5.2410313691371062</v>
      </c>
      <c r="H10" s="262">
        <v>5.4439483965859319</v>
      </c>
      <c r="I10" s="262">
        <v>3.3449019116002678</v>
      </c>
      <c r="J10" s="262">
        <v>3.5546079710314378</v>
      </c>
      <c r="K10" s="262">
        <v>3.0687812795888001</v>
      </c>
      <c r="L10" s="262">
        <v>1.8076636491576055</v>
      </c>
      <c r="M10" s="262">
        <v>1.0301825366621247</v>
      </c>
      <c r="N10" s="262">
        <v>1.5649226369498359</v>
      </c>
      <c r="O10" s="262">
        <v>1.1128587471432618</v>
      </c>
      <c r="P10" s="262">
        <v>1.0028111371596993</v>
      </c>
      <c r="Q10" s="262">
        <v>1.0060894145362373</v>
      </c>
      <c r="R10" s="262">
        <v>0.93839210273483598</v>
      </c>
      <c r="S10" s="262">
        <v>0.89574153511893417</v>
      </c>
      <c r="T10" s="262">
        <v>0.63555705332037593</v>
      </c>
    </row>
    <row r="11" spans="1:20" x14ac:dyDescent="0.3">
      <c r="A11" s="262" t="s">
        <v>226</v>
      </c>
      <c r="B11" s="262">
        <v>4.9324681406161153</v>
      </c>
      <c r="C11" s="262">
        <v>3.7116009787156141</v>
      </c>
      <c r="D11" s="262">
        <v>3.947223589389663</v>
      </c>
      <c r="E11" s="262">
        <v>3.124822127430853</v>
      </c>
      <c r="F11" s="262">
        <v>3.7775565837141025</v>
      </c>
      <c r="G11" s="262">
        <v>3.765476712094932</v>
      </c>
      <c r="H11" s="262">
        <v>4.8988335223830051</v>
      </c>
      <c r="I11" s="262">
        <v>5.405592753084175</v>
      </c>
      <c r="J11" s="262">
        <v>6.4232692292211091</v>
      </c>
      <c r="K11" s="262">
        <v>5.8605931103564002</v>
      </c>
      <c r="L11" s="262">
        <v>5.1862622255524151</v>
      </c>
      <c r="M11" s="262">
        <v>4.5824369508733112</v>
      </c>
      <c r="N11" s="262">
        <v>4.7685253014481148</v>
      </c>
      <c r="O11" s="262">
        <v>4.5161534038176727</v>
      </c>
      <c r="P11" s="262">
        <v>2.9604799350142708</v>
      </c>
      <c r="Q11" s="262">
        <v>1.8767376740867026</v>
      </c>
      <c r="R11" s="262">
        <v>1.2653735991531798</v>
      </c>
      <c r="S11" s="262">
        <v>0.90327660479159133</v>
      </c>
      <c r="T11" s="262">
        <v>0.60028045618430415</v>
      </c>
    </row>
    <row r="12" spans="1:20" x14ac:dyDescent="0.3">
      <c r="A12" s="262" t="s">
        <v>116</v>
      </c>
      <c r="B12" s="262">
        <v>4.9324681406161153</v>
      </c>
      <c r="C12" s="262">
        <v>3.7116009787156141</v>
      </c>
      <c r="D12" s="262">
        <v>3.947223589389663</v>
      </c>
      <c r="E12" s="262">
        <v>3.124822127430853</v>
      </c>
      <c r="F12" s="262">
        <v>3.7775565837141025</v>
      </c>
      <c r="G12" s="262">
        <v>3.765476712094932</v>
      </c>
      <c r="H12" s="262">
        <v>4.8988335223830051</v>
      </c>
      <c r="I12" s="262">
        <v>5.405592753084175</v>
      </c>
      <c r="J12" s="262">
        <v>6.0392061552828107</v>
      </c>
      <c r="K12" s="262">
        <v>5.4666850673208041</v>
      </c>
      <c r="L12" s="262">
        <v>4.794799476693953</v>
      </c>
      <c r="M12" s="262">
        <v>4.2226515436839787</v>
      </c>
      <c r="N12" s="262">
        <v>4.5463654164216454</v>
      </c>
      <c r="O12" s="262">
        <v>4.3114155128519425</v>
      </c>
      <c r="P12" s="262">
        <v>2.7892230392107957</v>
      </c>
      <c r="Q12" s="262">
        <v>1.8342086016455339</v>
      </c>
      <c r="R12" s="262">
        <v>1.2472568406065176</v>
      </c>
      <c r="S12" s="262">
        <v>0.88334513017359506</v>
      </c>
      <c r="T12" s="262">
        <v>0.58635983178751705</v>
      </c>
    </row>
    <row r="13" spans="1:20" x14ac:dyDescent="0.3">
      <c r="A13" s="262" t="s">
        <v>227</v>
      </c>
      <c r="B13" s="262">
        <v>4.9324681406161153</v>
      </c>
      <c r="C13" s="262">
        <v>3.7116009787156141</v>
      </c>
      <c r="D13" s="262">
        <v>3.947223589389663</v>
      </c>
      <c r="E13" s="262">
        <v>3.124822127430853</v>
      </c>
      <c r="F13" s="262">
        <v>3.7775565837141025</v>
      </c>
      <c r="G13" s="262">
        <v>3.765476712094932</v>
      </c>
      <c r="H13" s="262">
        <v>4.8988335223830051</v>
      </c>
      <c r="I13" s="262">
        <v>5.405592753084175</v>
      </c>
      <c r="J13" s="262">
        <v>6.4232692292211091</v>
      </c>
      <c r="K13" s="262">
        <v>5.8605931103564002</v>
      </c>
      <c r="L13" s="262">
        <v>5.1862622255524151</v>
      </c>
      <c r="M13" s="262">
        <v>4.5824369508733112</v>
      </c>
      <c r="N13" s="262">
        <v>4.7685253014481148</v>
      </c>
      <c r="O13" s="262">
        <v>4.5161534038176727</v>
      </c>
      <c r="P13" s="262">
        <v>2.9604799350142708</v>
      </c>
      <c r="Q13" s="262">
        <v>1.8767376740867026</v>
      </c>
      <c r="R13" s="262">
        <v>1.2653735991531798</v>
      </c>
      <c r="S13" s="262">
        <v>0.90327660479159133</v>
      </c>
      <c r="T13" s="262">
        <v>0.60028045618430415</v>
      </c>
    </row>
    <row r="14" spans="1:20" x14ac:dyDescent="0.3">
      <c r="A14" s="262" t="s">
        <v>228</v>
      </c>
      <c r="B14" s="262">
        <v>7.5176104625882196</v>
      </c>
      <c r="C14" s="262">
        <v>7.7594293402089951</v>
      </c>
      <c r="D14" s="262">
        <v>8.1212604159580746</v>
      </c>
      <c r="E14" s="262">
        <v>8.3504753926732569</v>
      </c>
      <c r="F14" s="262">
        <v>8.3327186096963146</v>
      </c>
      <c r="G14" s="262">
        <v>7.2124332480661293</v>
      </c>
      <c r="H14" s="262">
        <v>6.043038792646076</v>
      </c>
      <c r="I14" s="262">
        <v>5.9391545789553453</v>
      </c>
      <c r="J14" s="262">
        <v>5.6544722288136144</v>
      </c>
      <c r="K14" s="262">
        <v>4.0436351406187736</v>
      </c>
      <c r="L14" s="262">
        <v>2.8270571543434766</v>
      </c>
      <c r="M14" s="262">
        <v>1.4657208886855664</v>
      </c>
      <c r="N14" s="262">
        <v>0.65984110396326134</v>
      </c>
      <c r="O14" s="262">
        <v>0</v>
      </c>
      <c r="P14" s="262">
        <v>0</v>
      </c>
      <c r="Q14" s="262">
        <v>0</v>
      </c>
      <c r="R14" s="262">
        <v>0</v>
      </c>
      <c r="S14" s="262">
        <v>0</v>
      </c>
      <c r="T14" s="262">
        <v>0</v>
      </c>
    </row>
    <row r="15" spans="1:20" x14ac:dyDescent="0.3">
      <c r="A15" s="261" t="s">
        <v>132</v>
      </c>
      <c r="B15" s="261">
        <v>3818743810000</v>
      </c>
      <c r="C15" s="261">
        <v>3495160329570</v>
      </c>
      <c r="D15" s="261">
        <v>2695569789510</v>
      </c>
      <c r="E15" s="261">
        <v>2439367314090</v>
      </c>
      <c r="F15" s="261">
        <v>2453750882240</v>
      </c>
      <c r="G15" s="261">
        <v>1948295921320</v>
      </c>
      <c r="H15" s="261">
        <v>1010566792560</v>
      </c>
      <c r="I15" s="261">
        <v>1118725911520</v>
      </c>
      <c r="J15" s="261">
        <v>804081337040</v>
      </c>
      <c r="K15" s="261">
        <v>616670830400</v>
      </c>
      <c r="L15" s="261">
        <v>660032457120</v>
      </c>
      <c r="M15" s="261">
        <v>613182234720</v>
      </c>
      <c r="N15" s="261">
        <v>446675780319.99994</v>
      </c>
      <c r="O15" s="261">
        <v>623748586046.41992</v>
      </c>
      <c r="P15" s="261">
        <v>373696368252.76001</v>
      </c>
      <c r="Q15" s="261">
        <v>265853905364.15997</v>
      </c>
      <c r="R15" s="261">
        <v>162779119256.04001</v>
      </c>
      <c r="S15" s="261">
        <v>113055358080</v>
      </c>
      <c r="T15" s="261">
        <v>132663589459.84001</v>
      </c>
    </row>
    <row r="16" spans="1:20" x14ac:dyDescent="0.3">
      <c r="A16" s="261" t="s">
        <v>83</v>
      </c>
      <c r="B16" s="261">
        <v>3895186810000</v>
      </c>
      <c r="C16" s="261">
        <v>3584276329570</v>
      </c>
      <c r="D16" s="261">
        <v>2789534789510</v>
      </c>
      <c r="E16" s="261">
        <v>2548201314090</v>
      </c>
      <c r="F16" s="261">
        <v>2555332882240</v>
      </c>
      <c r="G16" s="261">
        <v>2032557921320</v>
      </c>
      <c r="H16" s="261">
        <v>1069769792560</v>
      </c>
      <c r="I16" s="261">
        <v>1207295911520</v>
      </c>
      <c r="J16" s="261">
        <v>899472337040</v>
      </c>
      <c r="K16" s="261">
        <v>683218830400</v>
      </c>
      <c r="L16" s="261">
        <v>703240457120</v>
      </c>
      <c r="M16" s="261">
        <v>634633234720</v>
      </c>
      <c r="N16" s="261">
        <v>449376780319.99994</v>
      </c>
      <c r="O16" s="261">
        <v>613002586046.41992</v>
      </c>
      <c r="P16" s="261">
        <v>363881368252.76001</v>
      </c>
      <c r="Q16" s="261">
        <v>254592905364.15997</v>
      </c>
      <c r="R16" s="261">
        <v>157516119256.04001</v>
      </c>
      <c r="S16" s="261">
        <v>101180358080</v>
      </c>
      <c r="T16" s="261">
        <v>123311589459.84001</v>
      </c>
    </row>
    <row r="17" spans="1:20" x14ac:dyDescent="0.3">
      <c r="A17" s="262" t="s">
        <v>74</v>
      </c>
      <c r="B17" s="262">
        <v>34.106809078771697</v>
      </c>
      <c r="C17" s="262">
        <v>37.281505728314237</v>
      </c>
      <c r="D17" s="262">
        <v>27.793831168831169</v>
      </c>
      <c r="E17" s="262">
        <v>24.460162601626017</v>
      </c>
      <c r="F17" s="262">
        <v>25.911816578483243</v>
      </c>
      <c r="G17" s="262">
        <v>33.9214501510574</v>
      </c>
      <c r="H17" s="262">
        <v>18.297658862876254</v>
      </c>
      <c r="I17" s="262">
        <v>18.813333333333333</v>
      </c>
      <c r="J17" s="262">
        <v>16.607758620689658</v>
      </c>
      <c r="K17" s="262">
        <v>13.483253588516748</v>
      </c>
      <c r="L17" s="262">
        <v>12.362068965517242</v>
      </c>
      <c r="M17" s="262">
        <v>15.549382716049383</v>
      </c>
      <c r="N17" s="262">
        <v>12.055944055944055</v>
      </c>
      <c r="O17" s="262">
        <v>14.987421383647797</v>
      </c>
      <c r="P17" s="262">
        <v>14.44</v>
      </c>
      <c r="Q17" s="262">
        <v>18.981818181818181</v>
      </c>
      <c r="R17" s="262">
        <v>19.727272727272727</v>
      </c>
      <c r="S17" s="262">
        <v>22.9</v>
      </c>
      <c r="T17" s="262">
        <v>39.142857142857139</v>
      </c>
    </row>
    <row r="18" spans="1:20" x14ac:dyDescent="0.3">
      <c r="A18" s="262" t="s">
        <v>97</v>
      </c>
      <c r="B18" s="262">
        <v>9.1761212847912219</v>
      </c>
      <c r="C18" s="262">
        <v>8.9382288786681503</v>
      </c>
      <c r="D18" s="262">
        <v>7.0328079353744606</v>
      </c>
      <c r="E18" s="262">
        <v>6.1861377180671928</v>
      </c>
      <c r="F18" s="262">
        <v>6.7075911787587783</v>
      </c>
      <c r="G18" s="262">
        <v>7.0972293729668685</v>
      </c>
      <c r="H18" s="262">
        <v>3.8841959325682045</v>
      </c>
      <c r="I18" s="262">
        <v>4.212149744987669</v>
      </c>
      <c r="J18" s="262">
        <v>3.5076879391364284</v>
      </c>
      <c r="K18" s="262">
        <v>2.8597370160314228</v>
      </c>
      <c r="L18" s="262">
        <v>2.8240911243180795</v>
      </c>
      <c r="M18" s="262">
        <v>3.3544803453048497</v>
      </c>
      <c r="N18" s="262">
        <v>2.6135146001989349</v>
      </c>
      <c r="O18" s="262">
        <v>3.9854102413066421</v>
      </c>
      <c r="P18" s="262">
        <v>3.452192336675258</v>
      </c>
      <c r="Q18" s="262">
        <v>4.0759510212979686</v>
      </c>
      <c r="R18" s="262">
        <v>3.8208370127934654</v>
      </c>
      <c r="S18" s="262">
        <v>3.4808755836078697</v>
      </c>
      <c r="T18" s="262">
        <v>5.5262679938282098</v>
      </c>
    </row>
    <row r="19" spans="1:20" x14ac:dyDescent="0.3">
      <c r="A19" s="262" t="s">
        <v>229</v>
      </c>
      <c r="B19" s="262">
        <v>34.25435325882205</v>
      </c>
      <c r="C19" s="262">
        <v>29.556381429549951</v>
      </c>
      <c r="D19" s="262">
        <v>24.384807626986785</v>
      </c>
      <c r="E19" s="262">
        <v>19.970096962693717</v>
      </c>
      <c r="F19" s="262">
        <v>23.585140835463964</v>
      </c>
      <c r="G19" s="262">
        <v>24.150233300939583</v>
      </c>
      <c r="H19" s="262">
        <v>14.563369782248419</v>
      </c>
      <c r="I19" s="262">
        <v>14.447476709455794</v>
      </c>
      <c r="J19" s="262">
        <v>12.519756123627872</v>
      </c>
      <c r="K19" s="262">
        <v>9.3109092479352569</v>
      </c>
      <c r="L19" s="262">
        <v>8.121877010311815</v>
      </c>
      <c r="M19" s="262">
        <v>10.268823115904411</v>
      </c>
      <c r="N19" s="262">
        <v>8.3232545805537956</v>
      </c>
      <c r="O19" s="262">
        <v>12.264995006418514</v>
      </c>
      <c r="P19" s="262">
        <v>9.9575359922396007</v>
      </c>
      <c r="Q19" s="262">
        <v>14.297064015281526</v>
      </c>
      <c r="R19" s="262">
        <v>16.02314393700561</v>
      </c>
      <c r="S19" s="262">
        <v>11.781508761984162</v>
      </c>
      <c r="T19" s="262">
        <v>24.252941400336383</v>
      </c>
    </row>
    <row r="20" spans="1:20" x14ac:dyDescent="0.3">
      <c r="A20" s="262" t="s">
        <v>75</v>
      </c>
      <c r="B20" s="262">
        <v>38.664167282594391</v>
      </c>
      <c r="C20" s="262">
        <v>32.122568672695692</v>
      </c>
      <c r="D20" s="262">
        <v>27.068302031551251</v>
      </c>
      <c r="E20" s="262">
        <v>21.888923611981014</v>
      </c>
      <c r="F20" s="262">
        <v>26.397758891482791</v>
      </c>
      <c r="G20" s="262">
        <v>26.556204202548898</v>
      </c>
      <c r="H20" s="262">
        <v>17.15849620619397</v>
      </c>
      <c r="I20" s="262">
        <v>17.447106431902185</v>
      </c>
      <c r="J20" s="262">
        <v>15.634480595761229</v>
      </c>
      <c r="K20" s="262">
        <v>11.705309690032838</v>
      </c>
      <c r="L20" s="262">
        <v>9.4590337516122567</v>
      </c>
      <c r="M20" s="262">
        <v>12.288221136673346</v>
      </c>
      <c r="N20" s="262">
        <v>10.017398078492935</v>
      </c>
      <c r="O20" s="262">
        <v>15.046764752410381</v>
      </c>
      <c r="P20" s="262">
        <v>12.424655658900821</v>
      </c>
      <c r="Q20" s="262">
        <v>16.137787141201891</v>
      </c>
      <c r="R20" s="262">
        <v>18.195743265821598</v>
      </c>
      <c r="S20" s="262">
        <v>13.46377969274741</v>
      </c>
      <c r="T20" s="262">
        <v>29.585992297020521</v>
      </c>
    </row>
    <row r="21" spans="1:20" x14ac:dyDescent="0.3">
      <c r="A21" s="262" t="s">
        <v>77</v>
      </c>
      <c r="B21" s="262">
        <v>51.791515467972282</v>
      </c>
      <c r="C21" s="262">
        <v>61.372437744863909</v>
      </c>
      <c r="D21" s="262">
        <v>43.374791450938112</v>
      </c>
      <c r="E21" s="262">
        <v>48.140340110712039</v>
      </c>
      <c r="F21" s="262">
        <v>38.892865465842448</v>
      </c>
      <c r="G21" s="262">
        <v>29.818269660080503</v>
      </c>
      <c r="H21" s="262">
        <v>11.167964730793033</v>
      </c>
      <c r="I21" s="262">
        <v>10.441038120712665</v>
      </c>
      <c r="J21" s="262">
        <v>5.9985030402769182</v>
      </c>
      <c r="K21" s="262">
        <v>4.8083870470724914</v>
      </c>
      <c r="L21" s="262">
        <v>5.5299941947970339</v>
      </c>
      <c r="M21" s="262">
        <v>5.4970750869140366</v>
      </c>
      <c r="N21" s="262">
        <v>3.6153734981262495</v>
      </c>
      <c r="O21" s="262">
        <v>5.2766143815787148</v>
      </c>
      <c r="P21" s="262">
        <v>4.877587525324806</v>
      </c>
      <c r="Q21" s="262">
        <v>5.5628445808658533</v>
      </c>
      <c r="R21" s="262">
        <v>5.1447256402035393</v>
      </c>
      <c r="S21" s="262">
        <v>5.0704291196125038</v>
      </c>
      <c r="T21" s="262">
        <v>9.129066161563447</v>
      </c>
    </row>
    <row r="22" spans="1:20" x14ac:dyDescent="0.3">
      <c r="A22" s="262" t="s">
        <v>79</v>
      </c>
      <c r="B22" s="262">
        <v>51.791515467972282</v>
      </c>
      <c r="C22" s="262">
        <v>61.372437744863909</v>
      </c>
      <c r="D22" s="262">
        <v>43.374791450938112</v>
      </c>
      <c r="E22" s="262">
        <v>48.140340110712039</v>
      </c>
      <c r="F22" s="262">
        <v>38.892865465842448</v>
      </c>
      <c r="G22" s="262">
        <v>29.818269660080503</v>
      </c>
      <c r="H22" s="262">
        <v>11.167964730793033</v>
      </c>
      <c r="I22" s="262">
        <v>10.441038120712665</v>
      </c>
      <c r="J22" s="262">
        <v>5.9985030402769182</v>
      </c>
      <c r="K22" s="262">
        <v>4.8083870470724914</v>
      </c>
      <c r="L22" s="262">
        <v>5.5299941947970339</v>
      </c>
      <c r="M22" s="262">
        <v>5.4970750869140366</v>
      </c>
      <c r="N22" s="262">
        <v>3.6153734981262495</v>
      </c>
      <c r="O22" s="262">
        <v>5.2766143815787148</v>
      </c>
      <c r="P22" s="262">
        <v>4.877587525324806</v>
      </c>
      <c r="Q22" s="262">
        <v>5.5628445808658533</v>
      </c>
      <c r="R22" s="262">
        <v>5.1447256402035393</v>
      </c>
      <c r="S22" s="262">
        <v>5.0704291196125038</v>
      </c>
      <c r="T22" s="262">
        <v>9.129066161563447</v>
      </c>
    </row>
    <row r="23" spans="1:20" x14ac:dyDescent="0.3">
      <c r="A23" s="262" t="s">
        <v>81</v>
      </c>
      <c r="B23" s="262">
        <v>9.3598074062682475</v>
      </c>
      <c r="C23" s="262">
        <v>9.166126637180815</v>
      </c>
      <c r="D23" s="262">
        <v>7.277964933430737</v>
      </c>
      <c r="E23" s="262">
        <v>6.4621363790803592</v>
      </c>
      <c r="F23" s="262">
        <v>6.9852764694915761</v>
      </c>
      <c r="G23" s="262">
        <v>7.4041779914394477</v>
      </c>
      <c r="H23" s="262">
        <v>4.1117474942154093</v>
      </c>
      <c r="I23" s="262">
        <v>4.5456274083472961</v>
      </c>
      <c r="J23" s="262">
        <v>3.9238173091251736</v>
      </c>
      <c r="K23" s="262">
        <v>3.1683453846474894</v>
      </c>
      <c r="L23" s="262">
        <v>3.0089658649209508</v>
      </c>
      <c r="M23" s="262">
        <v>3.4718303822314613</v>
      </c>
      <c r="N23" s="262">
        <v>2.6293182395412789</v>
      </c>
      <c r="O23" s="262">
        <v>3.9167492143942795</v>
      </c>
      <c r="P23" s="262">
        <v>3.3615217531132853</v>
      </c>
      <c r="Q23" s="262">
        <v>3.903302496959141</v>
      </c>
      <c r="R23" s="262">
        <v>3.6973011115658525</v>
      </c>
      <c r="S23" s="262">
        <v>3.1152547208965795</v>
      </c>
      <c r="T23" s="262">
        <v>5.1366987194801306</v>
      </c>
    </row>
    <row r="24" spans="1:20" x14ac:dyDescent="0.3">
      <c r="A24" s="262" t="s">
        <v>85</v>
      </c>
      <c r="B24" s="262">
        <v>26.969935053694947</v>
      </c>
      <c r="C24" s="262">
        <v>26.563968943674499</v>
      </c>
      <c r="D24" s="262">
        <v>21.592832070393534</v>
      </c>
      <c r="E24" s="262">
        <v>19.139549295392751</v>
      </c>
      <c r="F24" s="262">
        <v>20.7521186512474</v>
      </c>
      <c r="G24" s="262">
        <v>25.087113321648975</v>
      </c>
      <c r="H24" s="262">
        <v>13.068284785731738</v>
      </c>
      <c r="I24" s="262">
        <v>13.869631132045125</v>
      </c>
      <c r="J24" s="262">
        <v>11.747212802047827</v>
      </c>
      <c r="K24" s="262">
        <v>9.3166627630125589</v>
      </c>
      <c r="L24" s="262">
        <v>8.3218798546831554</v>
      </c>
      <c r="M24" s="262">
        <v>10.266986470807112</v>
      </c>
      <c r="N24" s="262">
        <v>7.8771697573972785</v>
      </c>
      <c r="O24" s="262">
        <v>10.382835129512532</v>
      </c>
      <c r="P24" s="262">
        <v>10.10248391828646</v>
      </c>
      <c r="Q24" s="262">
        <v>13.115233121994642</v>
      </c>
      <c r="R24" s="262">
        <v>13.094697751769891</v>
      </c>
      <c r="S24" s="262">
        <v>13.852732486308872</v>
      </c>
      <c r="T24" s="262">
        <v>26.103215380999156</v>
      </c>
    </row>
    <row r="25" spans="1:20" x14ac:dyDescent="0.3">
      <c r="A25" s="262" t="s">
        <v>87</v>
      </c>
      <c r="B25" s="262">
        <v>34.940051398432033</v>
      </c>
      <c r="C25" s="262">
        <v>30.309979616503458</v>
      </c>
      <c r="D25" s="262">
        <v>25.234838836561337</v>
      </c>
      <c r="E25" s="262">
        <v>20.861076160571752</v>
      </c>
      <c r="F25" s="262">
        <v>24.561534076395162</v>
      </c>
      <c r="G25" s="262">
        <v>25.194708596573864</v>
      </c>
      <c r="H25" s="262">
        <v>15.416549589428024</v>
      </c>
      <c r="I25" s="262">
        <v>15.591289504868662</v>
      </c>
      <c r="J25" s="262">
        <v>14.005018871778903</v>
      </c>
      <c r="K25" s="262">
        <v>10.315695526264136</v>
      </c>
      <c r="L25" s="262">
        <v>8.6535630782861226</v>
      </c>
      <c r="M25" s="262">
        <v>10.628058123356723</v>
      </c>
      <c r="N25" s="262">
        <v>8.373584398315506</v>
      </c>
      <c r="O25" s="262">
        <v>12.053692505238711</v>
      </c>
      <c r="P25" s="262">
        <v>9.6960049096101688</v>
      </c>
      <c r="Q25" s="262">
        <v>13.691471113963967</v>
      </c>
      <c r="R25" s="262">
        <v>15.505081135548775</v>
      </c>
      <c r="S25" s="262">
        <v>10.544013972488537</v>
      </c>
      <c r="T25" s="262">
        <v>22.543252186442416</v>
      </c>
    </row>
    <row r="26" spans="1:20" x14ac:dyDescent="0.3">
      <c r="A26" s="262" t="s">
        <v>89</v>
      </c>
      <c r="B26" s="262">
        <v>39.438140370771613</v>
      </c>
      <c r="C26" s="262">
        <v>32.941596860220393</v>
      </c>
      <c r="D26" s="262">
        <v>28.011877304687498</v>
      </c>
      <c r="E26" s="262">
        <v>22.865512540850478</v>
      </c>
      <c r="F26" s="262">
        <v>27.490590752746012</v>
      </c>
      <c r="G26" s="262">
        <v>27.704735518571525</v>
      </c>
      <c r="H26" s="262">
        <v>18.163708784297746</v>
      </c>
      <c r="I26" s="262">
        <v>18.828401171535067</v>
      </c>
      <c r="J26" s="262">
        <v>17.489254074275713</v>
      </c>
      <c r="K26" s="262">
        <v>12.968487565248752</v>
      </c>
      <c r="L26" s="262">
        <v>10.078254709507295</v>
      </c>
      <c r="M26" s="262">
        <v>12.718100896192384</v>
      </c>
      <c r="N26" s="262">
        <v>10.077972198250727</v>
      </c>
      <c r="O26" s="262">
        <v>14.787537657317024</v>
      </c>
      <c r="P26" s="262">
        <v>12.098326570228414</v>
      </c>
      <c r="Q26" s="262">
        <v>15.454225164754156</v>
      </c>
      <c r="R26" s="262">
        <v>17.607435642302708</v>
      </c>
      <c r="S26" s="262">
        <v>12.049584146719067</v>
      </c>
      <c r="T26" s="262">
        <v>27.500354473648532</v>
      </c>
    </row>
    <row r="27" spans="1:20" x14ac:dyDescent="0.3">
      <c r="A27" s="79" t="s">
        <v>111</v>
      </c>
      <c r="B27" s="79">
        <v>2.9331635106467118E-2</v>
      </c>
      <c r="C27" s="79">
        <v>2.6818798327209237E-2</v>
      </c>
      <c r="D27" s="79">
        <v>3.5983115843434249E-2</v>
      </c>
      <c r="E27" s="79">
        <v>4.0913477615088595E-2</v>
      </c>
      <c r="F27" s="79">
        <v>3.8585824129614886E-2</v>
      </c>
      <c r="G27" s="79">
        <v>2.9467289528124239E-2</v>
      </c>
      <c r="H27" s="79">
        <v>5.4678226522785041E-2</v>
      </c>
      <c r="I27" s="79">
        <v>5.3213212804837894E-2</v>
      </c>
      <c r="J27" s="79">
        <v>6.0131976421677245E-2</v>
      </c>
      <c r="K27" s="79">
        <v>7.4086526794798116E-2</v>
      </c>
      <c r="L27" s="79">
        <v>8.0896021739568003E-2</v>
      </c>
      <c r="M27" s="79">
        <v>6.4434352078125062E-2</v>
      </c>
      <c r="N27" s="79">
        <v>8.2916964903417364E-2</v>
      </c>
      <c r="O27" s="79">
        <v>6.6906764894684972E-2</v>
      </c>
      <c r="P27" s="79">
        <v>6.9366475572668479E-2</v>
      </c>
      <c r="Q27" s="79">
        <v>5.2709400604084959E-2</v>
      </c>
      <c r="R27" s="79">
        <v>5.0590026765330566E-2</v>
      </c>
      <c r="S27" s="79">
        <v>4.2757814243349485E-2</v>
      </c>
      <c r="T27" s="79">
        <v>2.6344832174603629E-2</v>
      </c>
    </row>
    <row r="28" spans="1:20" x14ac:dyDescent="0.3">
      <c r="A28" s="79" t="s">
        <v>113</v>
      </c>
      <c r="B28" s="79">
        <v>2.5863740778148719E-2</v>
      </c>
      <c r="C28" s="79">
        <v>3.1130760749217539E-2</v>
      </c>
      <c r="D28" s="79">
        <v>3.6943580680989289E-2</v>
      </c>
      <c r="E28" s="79">
        <v>4.5685206715813331E-2</v>
      </c>
      <c r="F28" s="79">
        <v>3.7882003700043222E-2</v>
      </c>
      <c r="G28" s="79">
        <v>3.7655983979217128E-2</v>
      </c>
      <c r="H28" s="79">
        <v>5.828016557995417E-2</v>
      </c>
      <c r="I28" s="79">
        <v>5.7316094442542709E-2</v>
      </c>
      <c r="J28" s="79">
        <v>6.3961191027421579E-2</v>
      </c>
      <c r="K28" s="79">
        <v>8.543131505965261E-2</v>
      </c>
      <c r="L28" s="79">
        <v>0.10571904343078951</v>
      </c>
      <c r="M28" s="79">
        <v>8.1378743829370798E-2</v>
      </c>
      <c r="N28" s="79">
        <v>9.9826321382492644E-2</v>
      </c>
      <c r="O28" s="79">
        <v>6.645946929155036E-2</v>
      </c>
      <c r="P28" s="79">
        <v>8.0485127914479968E-2</v>
      </c>
      <c r="Q28" s="79">
        <v>6.1966364486669215E-2</v>
      </c>
      <c r="R28" s="79">
        <v>5.4957908857637794E-2</v>
      </c>
      <c r="S28" s="79">
        <v>7.4273348407407028E-2</v>
      </c>
      <c r="T28" s="79">
        <v>3.379977896163739E-2</v>
      </c>
    </row>
    <row r="29" spans="1:20" x14ac:dyDescent="0.3">
      <c r="A29" s="262" t="s">
        <v>99</v>
      </c>
      <c r="B29" s="262">
        <v>1.5241072518411023</v>
      </c>
      <c r="C29" s="262">
        <v>2.0905882352941179</v>
      </c>
      <c r="D29" s="262">
        <v>1.9941750072410132</v>
      </c>
      <c r="E29" s="262">
        <v>2.6144616356173036</v>
      </c>
      <c r="F29" s="262">
        <v>2.1639245522269772</v>
      </c>
      <c r="G29" s="262">
        <v>1.871439722064923</v>
      </c>
      <c r="H29" s="262">
        <v>1.1940478295464592</v>
      </c>
      <c r="I29" s="262">
        <v>1.0684666859548098</v>
      </c>
      <c r="J29" s="262">
        <v>0.86298089476079287</v>
      </c>
      <c r="K29" s="262">
        <v>0.67861737713354486</v>
      </c>
      <c r="L29" s="262">
        <v>0.53896359599514054</v>
      </c>
      <c r="M29" s="262">
        <v>0.31641370901951643</v>
      </c>
      <c r="N29" s="262">
        <v>0.13727347044492469</v>
      </c>
      <c r="O29" s="262">
        <v>0</v>
      </c>
      <c r="P29" s="262">
        <v>0</v>
      </c>
      <c r="Q29" s="262">
        <v>0</v>
      </c>
      <c r="R29" s="262">
        <v>0</v>
      </c>
      <c r="S29" s="262">
        <v>0</v>
      </c>
      <c r="T29" s="262">
        <v>0</v>
      </c>
    </row>
    <row r="30" spans="1:20" x14ac:dyDescent="0.3">
      <c r="A30" s="79" t="s">
        <v>101</v>
      </c>
      <c r="B30" s="79">
        <v>0.31281785764987852</v>
      </c>
      <c r="C30" s="79">
        <v>0.32620691544742175</v>
      </c>
      <c r="D30" s="79">
        <v>0.35149170549913072</v>
      </c>
      <c r="E30" s="79">
        <v>0.37555810690139046</v>
      </c>
      <c r="F30" s="79">
        <v>0.38894935071595033</v>
      </c>
      <c r="G30" s="79">
        <v>0.37753173936669465</v>
      </c>
      <c r="H30" s="79">
        <v>0.31917841401883518</v>
      </c>
      <c r="I30" s="79">
        <v>0.31303028231594776</v>
      </c>
      <c r="J30" s="79">
        <v>0.30821780938348448</v>
      </c>
      <c r="K30" s="79">
        <v>0.27054954210006033</v>
      </c>
      <c r="L30" s="79">
        <v>0.2215571130896003</v>
      </c>
      <c r="M30" s="79">
        <v>0.15223926949305336</v>
      </c>
      <c r="N30" s="79">
        <v>8.1932367149758448E-2</v>
      </c>
      <c r="O30" s="79">
        <v>0</v>
      </c>
      <c r="P30" s="79">
        <v>0</v>
      </c>
      <c r="Q30" s="79">
        <v>0</v>
      </c>
      <c r="R30" s="79">
        <v>0</v>
      </c>
      <c r="S30" s="79">
        <v>0</v>
      </c>
      <c r="T30" s="79">
        <v>0</v>
      </c>
    </row>
    <row r="31" spans="1:20" x14ac:dyDescent="0.3">
      <c r="A31" s="79" t="s">
        <v>103</v>
      </c>
      <c r="B31" s="79">
        <v>0.52928469053570315</v>
      </c>
      <c r="C31" s="79">
        <v>0.66046097976728679</v>
      </c>
      <c r="D31" s="79">
        <v>0.72735083753909036</v>
      </c>
      <c r="E31" s="79">
        <v>0.81745256801213784</v>
      </c>
      <c r="F31" s="79">
        <v>0.82495777027027029</v>
      </c>
      <c r="G31" s="79">
        <v>1.0400148111577387</v>
      </c>
      <c r="H31" s="79">
        <v>0.72322257512826782</v>
      </c>
      <c r="I31" s="79">
        <v>1.0175079842841717</v>
      </c>
      <c r="J31" s="79">
        <v>1.2458174979430319</v>
      </c>
      <c r="K31" s="79">
        <v>0.90747685216750984</v>
      </c>
      <c r="L31" s="79">
        <v>0.51130702325306199</v>
      </c>
      <c r="M31" s="79">
        <v>0.34703055991458109</v>
      </c>
      <c r="N31" s="79">
        <v>4.734609451689805E-2</v>
      </c>
      <c r="O31" s="79">
        <v>-0.18201219512195121</v>
      </c>
      <c r="P31" s="79">
        <v>-0.27249507204530943</v>
      </c>
      <c r="Q31" s="79">
        <v>-0.58010508963527718</v>
      </c>
      <c r="R31" s="79">
        <v>-0.43752597888436279</v>
      </c>
      <c r="S31" s="79">
        <v>-1.6258214676889375</v>
      </c>
      <c r="T31" s="79">
        <v>-1.9796782387806944</v>
      </c>
    </row>
    <row r="32" spans="1:20" x14ac:dyDescent="0.3">
      <c r="A32" s="262" t="s">
        <v>105</v>
      </c>
      <c r="B32" s="262">
        <v>0.89329292221866674</v>
      </c>
      <c r="C32" s="262">
        <v>0.86731257653408322</v>
      </c>
      <c r="D32" s="262">
        <v>0.98801167175929749</v>
      </c>
      <c r="E32" s="262">
        <v>0.87935602862672257</v>
      </c>
      <c r="F32" s="262">
        <v>1.0745531195957954</v>
      </c>
      <c r="G32" s="262">
        <v>1.3636044481554577</v>
      </c>
      <c r="H32" s="262">
        <v>1.540125617208044</v>
      </c>
      <c r="I32" s="262">
        <v>1.1329261875803294</v>
      </c>
      <c r="J32" s="262">
        <v>1.2760628484139107</v>
      </c>
      <c r="K32" s="262">
        <v>1.352669417512594</v>
      </c>
      <c r="L32" s="262">
        <v>1.1087706239920605</v>
      </c>
      <c r="M32" s="262">
        <v>1.0801128483167317</v>
      </c>
      <c r="N32" s="262">
        <v>1.6786385084062485</v>
      </c>
      <c r="O32" s="262">
        <v>1.4958486845519174</v>
      </c>
      <c r="P32" s="262">
        <v>1.6084376117268502</v>
      </c>
      <c r="Q32" s="262">
        <v>2.0112923462986196</v>
      </c>
      <c r="R32" s="262">
        <v>2.7424821832087605</v>
      </c>
      <c r="S32" s="262">
        <v>2.6411407446527595</v>
      </c>
      <c r="T32" s="262">
        <v>2.3659482758620691</v>
      </c>
    </row>
    <row r="33" spans="1:20" x14ac:dyDescent="0.3">
      <c r="A33" s="262" t="s">
        <v>107</v>
      </c>
      <c r="B33" s="262">
        <v>0</v>
      </c>
      <c r="C33" s="262">
        <v>0</v>
      </c>
      <c r="D33" s="262">
        <v>29.062039155860667</v>
      </c>
      <c r="E33" s="262">
        <v>40.749573524394407</v>
      </c>
      <c r="F33" s="262">
        <v>41.190548204158787</v>
      </c>
      <c r="G33" s="262">
        <v>23.072746258266619</v>
      </c>
      <c r="H33" s="262">
        <v>17.877516778523489</v>
      </c>
      <c r="I33" s="262">
        <v>21.882098765432097</v>
      </c>
      <c r="J33" s="262">
        <v>26.407232027550581</v>
      </c>
      <c r="K33" s="262">
        <v>41.225274725274723</v>
      </c>
      <c r="L33" s="262">
        <v>97.17598908594816</v>
      </c>
      <c r="M33" s="262">
        <v>136.7265625</v>
      </c>
      <c r="N33" s="262">
        <v>360.28676470588238</v>
      </c>
      <c r="O33" s="262">
        <v>0</v>
      </c>
      <c r="P33" s="262">
        <v>0</v>
      </c>
      <c r="Q33" s="262">
        <v>0</v>
      </c>
      <c r="R33" s="262">
        <v>0</v>
      </c>
      <c r="S33" s="262">
        <v>0</v>
      </c>
      <c r="T33" s="262">
        <v>0</v>
      </c>
    </row>
    <row r="34" spans="1:20" x14ac:dyDescent="0.3">
      <c r="A34" s="262" t="s">
        <v>109</v>
      </c>
      <c r="B34" s="262">
        <v>0.99528613516650299</v>
      </c>
      <c r="C34" s="262">
        <v>1.2615643936161134</v>
      </c>
      <c r="D34" s="262">
        <v>1.1396773029537606</v>
      </c>
      <c r="E34" s="262">
        <v>1.2239211246154926</v>
      </c>
      <c r="F34" s="262">
        <v>1.0988381918039714</v>
      </c>
      <c r="G34" s="262">
        <v>1.405201093867029</v>
      </c>
      <c r="H34" s="262">
        <v>1.2558093238743304</v>
      </c>
      <c r="I34" s="262">
        <v>1.3007340713241839</v>
      </c>
      <c r="J34" s="262">
        <v>1.3283075841244234</v>
      </c>
      <c r="K34" s="262">
        <v>1.4496683958237573</v>
      </c>
      <c r="L34" s="262">
        <v>1.5220062179271079</v>
      </c>
      <c r="M34" s="262">
        <v>1.5113389015439129</v>
      </c>
      <c r="N34" s="262">
        <v>1.448983448983449</v>
      </c>
      <c r="O34" s="262">
        <v>1.2186039824599237</v>
      </c>
      <c r="P34" s="262">
        <v>1.4477663760512307</v>
      </c>
      <c r="Q34" s="262">
        <v>1.3269820880610861</v>
      </c>
      <c r="R34" s="262">
        <v>1.2336369156041287</v>
      </c>
      <c r="S34" s="262">
        <v>1.5682301029579997</v>
      </c>
      <c r="T34" s="262">
        <v>1.5646453089244852</v>
      </c>
    </row>
    <row r="35" spans="1:20" x14ac:dyDescent="0.3">
      <c r="A35" s="79" t="s">
        <v>127</v>
      </c>
      <c r="B35" s="79">
        <v>4.0382389516724349E-3</v>
      </c>
      <c r="C35" s="79">
        <v>4.3585983369965175E-3</v>
      </c>
      <c r="D35" s="79">
        <v>5.5739606737213211E-3</v>
      </c>
      <c r="E35" s="79">
        <v>6.0839546034240433E-3</v>
      </c>
      <c r="F35" s="79">
        <v>5.8958715429144335E-3</v>
      </c>
      <c r="G35" s="79">
        <v>7.227341517226967E-3</v>
      </c>
      <c r="H35" s="79">
        <v>1.3971367458288728E-2</v>
      </c>
      <c r="I35" s="79">
        <v>1.2256800221396198E-2</v>
      </c>
      <c r="J35" s="79">
        <v>1.5880234264614938E-2</v>
      </c>
      <c r="K35" s="79">
        <v>1.9702569670952286E-2</v>
      </c>
      <c r="L35" s="79">
        <v>1.7515805283948489E-2</v>
      </c>
      <c r="M35" s="79">
        <v>1.814468745181522E-2</v>
      </c>
      <c r="N35" s="79">
        <v>2.3650263715735646E-2</v>
      </c>
      <c r="O35" s="79">
        <v>3.9887865971288006E-3</v>
      </c>
      <c r="P35" s="79">
        <v>0</v>
      </c>
      <c r="Q35" s="79">
        <v>0</v>
      </c>
      <c r="R35" s="79">
        <v>0</v>
      </c>
      <c r="S35" s="79">
        <v>0</v>
      </c>
      <c r="T35" s="79">
        <v>0</v>
      </c>
    </row>
    <row r="36" spans="1:20" x14ac:dyDescent="0.3">
      <c r="A36" s="79" t="s">
        <v>230</v>
      </c>
      <c r="B36" s="79">
        <v>0.13767520757075261</v>
      </c>
      <c r="C36" s="79">
        <v>0.16252026969360758</v>
      </c>
      <c r="D36" s="79">
        <v>0.1549048920047425</v>
      </c>
      <c r="E36" s="79">
        <v>0.14870294480125848</v>
      </c>
      <c r="F36" s="79">
        <v>0.15279890156316012</v>
      </c>
      <c r="G36" s="79">
        <v>0.24526658654264863</v>
      </c>
      <c r="H36" s="79">
        <v>0.25551976255972203</v>
      </c>
      <c r="I36" s="79">
        <v>0.23033377567989788</v>
      </c>
      <c r="J36" s="79">
        <v>0.264089677566131</v>
      </c>
      <c r="K36" s="79">
        <v>0.26593998292730975</v>
      </c>
      <c r="L36" s="79">
        <v>0.2165224557066337</v>
      </c>
      <c r="M36" s="79">
        <v>0.2815995950392306</v>
      </c>
      <c r="N36" s="79">
        <v>0.28522828522828525</v>
      </c>
      <c r="O36" s="79">
        <v>5.961708959336736E-2</v>
      </c>
      <c r="P36" s="79">
        <v>0</v>
      </c>
      <c r="Q36" s="79">
        <v>0</v>
      </c>
      <c r="R36" s="79">
        <v>0</v>
      </c>
      <c r="S36" s="79">
        <v>0</v>
      </c>
      <c r="T36" s="79">
        <v>0</v>
      </c>
    </row>
    <row r="37" spans="1:20" x14ac:dyDescent="0.3">
      <c r="A37" s="79" t="s">
        <v>231</v>
      </c>
      <c r="B37" s="79">
        <v>6.6322889458647019E-2</v>
      </c>
      <c r="C37" s="79">
        <v>6.6738271510222866E-2</v>
      </c>
      <c r="D37" s="79">
        <v>6.5048201729783317E-2</v>
      </c>
      <c r="E37" s="79">
        <v>6.3637378020328261E-2</v>
      </c>
      <c r="F37" s="79">
        <v>6.006555190163388E-2</v>
      </c>
      <c r="G37" s="79">
        <v>7.2549769593646979E-2</v>
      </c>
      <c r="H37" s="79">
        <v>7.0126146348213125E-2</v>
      </c>
      <c r="I37" s="79">
        <v>6.2896515371147807E-2</v>
      </c>
      <c r="J37" s="79">
        <v>6.6573893924984945E-2</v>
      </c>
      <c r="K37" s="79">
        <v>6.5822972653369755E-2</v>
      </c>
      <c r="L37" s="79">
        <v>6.1309714823609952E-2</v>
      </c>
      <c r="M37" s="79">
        <v>6.5609015563883044E-2</v>
      </c>
      <c r="N37" s="79">
        <v>6.3366684219764782E-2</v>
      </c>
      <c r="O37" s="79">
        <v>6.4150075395506934E-2</v>
      </c>
      <c r="P37" s="79">
        <v>7.0199262810741903E-2</v>
      </c>
      <c r="Q37" s="79">
        <v>8.4584131851284022E-2</v>
      </c>
      <c r="R37" s="79">
        <v>9.7387507921977326E-2</v>
      </c>
      <c r="S37" s="79">
        <v>0.11579790018165584</v>
      </c>
      <c r="T37" s="79">
        <v>0.12342747646421728</v>
      </c>
    </row>
    <row r="38" spans="1:20" x14ac:dyDescent="0.3">
      <c r="A38" s="79" t="s">
        <v>343</v>
      </c>
      <c r="B38" s="79">
        <v>8.3020753987038676E-2</v>
      </c>
      <c r="C38" s="79">
        <v>8.0222997941360744E-2</v>
      </c>
      <c r="D38" s="79">
        <v>7.8048971392045086E-2</v>
      </c>
      <c r="E38" s="79">
        <v>6.657148363798665E-2</v>
      </c>
      <c r="F38" s="79">
        <v>5.9904269074427925E-2</v>
      </c>
      <c r="G38" s="79">
        <v>6.8309564140393061E-2</v>
      </c>
      <c r="H38" s="79">
        <v>6.233136285716482E-2</v>
      </c>
      <c r="I38" s="79">
        <v>5.3600406634161032E-2</v>
      </c>
      <c r="J38" s="79">
        <v>5.0520428906706681E-2</v>
      </c>
      <c r="K38" s="79">
        <v>4.6582482760539605E-2</v>
      </c>
      <c r="L38" s="79">
        <v>3.4516398177267184E-2</v>
      </c>
      <c r="M38" s="79">
        <v>3.3047949889220163E-2</v>
      </c>
      <c r="N38" s="79">
        <v>2.6183371365045931E-2</v>
      </c>
      <c r="O38" s="79">
        <v>2.1602729572929181E-2</v>
      </c>
      <c r="P38" s="79">
        <v>2.2439006364954873E-2</v>
      </c>
      <c r="Q38" s="79">
        <v>2.7320812571866616E-2</v>
      </c>
      <c r="R38" s="79">
        <v>3.1288876370208669E-2</v>
      </c>
      <c r="S38" s="79">
        <v>3.4145139936574399E-2</v>
      </c>
      <c r="T38" s="79">
        <v>3.2575189535949345E-2</v>
      </c>
    </row>
    <row r="39" spans="1:20" x14ac:dyDescent="0.3">
      <c r="A39" s="79" t="s">
        <v>115</v>
      </c>
      <c r="B39" s="79">
        <v>0</v>
      </c>
      <c r="C39" s="79">
        <v>0</v>
      </c>
      <c r="D39" s="79">
        <v>0</v>
      </c>
      <c r="E39" s="79">
        <v>0</v>
      </c>
      <c r="F39" s="79">
        <v>0</v>
      </c>
      <c r="G39" s="79">
        <v>0</v>
      </c>
      <c r="H39" s="79">
        <v>0</v>
      </c>
      <c r="I39" s="79">
        <v>0</v>
      </c>
      <c r="J39" s="79">
        <v>2.1355167204431431E-2</v>
      </c>
      <c r="K39" s="79">
        <v>2.6796316905305172E-2</v>
      </c>
      <c r="L39" s="79">
        <v>3.1028603902254214E-2</v>
      </c>
      <c r="M39" s="79">
        <v>3.7776215390853136E-2</v>
      </c>
      <c r="N39" s="79">
        <v>2.7806763285024155E-2</v>
      </c>
      <c r="O39" s="79">
        <v>3.0437795347146492E-2</v>
      </c>
      <c r="P39" s="79">
        <v>3.8085089927903E-2</v>
      </c>
      <c r="Q39" s="79">
        <v>1.4404852160727824E-2</v>
      </c>
      <c r="R39" s="79">
        <v>9.536641333866655E-3</v>
      </c>
      <c r="S39" s="79">
        <v>1.3602056896408725E-2</v>
      </c>
      <c r="T39" s="79">
        <v>1.3295459028681894E-2</v>
      </c>
    </row>
    <row r="40" spans="1:20" x14ac:dyDescent="0.3">
      <c r="A40" s="262" t="s">
        <v>117</v>
      </c>
      <c r="B40" s="262">
        <v>0.11405428679069267</v>
      </c>
      <c r="C40" s="262">
        <v>7.9887361104064136E-2</v>
      </c>
      <c r="D40" s="262">
        <v>9.9137892042010803E-2</v>
      </c>
      <c r="E40" s="262">
        <v>8.7661992124501639E-2</v>
      </c>
      <c r="F40" s="262">
        <v>0.10654760760491359</v>
      </c>
      <c r="G40" s="262">
        <v>9.0599201725462972E-2</v>
      </c>
      <c r="H40" s="262">
        <v>0.15124439768846104</v>
      </c>
      <c r="I40" s="262">
        <v>0.17192706046439549</v>
      </c>
      <c r="J40" s="262">
        <v>0.19922148695990657</v>
      </c>
      <c r="K40" s="262">
        <v>0.20455677854780993</v>
      </c>
      <c r="L40" s="262">
        <v>0.14136293160731425</v>
      </c>
      <c r="M40" s="262">
        <v>0.16433607422169377</v>
      </c>
      <c r="N40" s="262">
        <v>0.16912011329333285</v>
      </c>
      <c r="O40" s="262">
        <v>0.18487494100991034</v>
      </c>
      <c r="P40" s="262">
        <v>0.19856644195155745</v>
      </c>
      <c r="Q40" s="262">
        <v>0.11406292013982253</v>
      </c>
      <c r="R40" s="262">
        <v>0.11940151589723398</v>
      </c>
      <c r="S40" s="262">
        <v>0.12494789495623176</v>
      </c>
      <c r="T40" s="262">
        <v>0.18025594149908591</v>
      </c>
    </row>
    <row r="41" spans="1:20" x14ac:dyDescent="0.3">
      <c r="A41" s="262" t="s">
        <v>118</v>
      </c>
      <c r="B41" s="262">
        <v>3.0553079216937677E-2</v>
      </c>
      <c r="C41" s="262">
        <v>2.415896275269477E-2</v>
      </c>
      <c r="D41" s="262">
        <v>2.859230076835775E-2</v>
      </c>
      <c r="E41" s="262">
        <v>2.7155058732831552E-2</v>
      </c>
      <c r="F41" s="262">
        <v>3.0302036264033657E-2</v>
      </c>
      <c r="G41" s="262">
        <v>2.6625138881299748E-2</v>
      </c>
      <c r="H41" s="262">
        <v>4.033838892433525E-2</v>
      </c>
      <c r="I41" s="262">
        <v>5.0125190609762983E-2</v>
      </c>
      <c r="J41" s="262">
        <v>5.5816327420888698E-2</v>
      </c>
      <c r="K41" s="262">
        <v>6.2827225130890049E-2</v>
      </c>
      <c r="L41" s="262">
        <v>4.9153884004021993E-2</v>
      </c>
      <c r="M41" s="262">
        <v>5.3683087611805576E-2</v>
      </c>
      <c r="N41" s="262">
        <v>5.3103972851208235E-2</v>
      </c>
      <c r="O41" s="262">
        <v>6.0073606461011578E-2</v>
      </c>
      <c r="P41" s="262">
        <v>6.8841282598453568E-2</v>
      </c>
      <c r="Q41" s="262">
        <v>3.2518206209275584E-2</v>
      </c>
      <c r="R41" s="262">
        <v>2.8472173321127621E-2</v>
      </c>
      <c r="S41" s="262">
        <v>3.691616121185997E-2</v>
      </c>
      <c r="T41" s="262">
        <v>4.1073065067066566E-2</v>
      </c>
    </row>
    <row r="42" spans="1:20" x14ac:dyDescent="0.3">
      <c r="A42" s="262" t="s">
        <v>233</v>
      </c>
      <c r="B42" s="262">
        <v>1.0869379381090785</v>
      </c>
      <c r="C42" s="262">
        <v>0.82542595019659237</v>
      </c>
      <c r="D42" s="262">
        <v>0.95138466880805628</v>
      </c>
      <c r="E42" s="262">
        <v>0.96433717579250722</v>
      </c>
      <c r="F42" s="262">
        <v>0.9823644097837646</v>
      </c>
      <c r="G42" s="262">
        <v>0.66108900144717797</v>
      </c>
      <c r="H42" s="262">
        <v>0.83645492946521083</v>
      </c>
      <c r="I42" s="262">
        <v>1.2210400807117308</v>
      </c>
      <c r="J42" s="262">
        <v>1.259722358964261</v>
      </c>
      <c r="K42" s="262">
        <v>1.289671584959543</v>
      </c>
      <c r="L42" s="262">
        <v>1.020520564981789</v>
      </c>
      <c r="M42" s="262">
        <v>1.2349609866599547</v>
      </c>
      <c r="N42" s="262">
        <v>1.3431996448127868</v>
      </c>
      <c r="O42" s="262">
        <v>2.8690875801037534</v>
      </c>
      <c r="P42" s="262">
        <v>4.1080485115766265</v>
      </c>
      <c r="Q42" s="262">
        <v>2.0652385589094449</v>
      </c>
      <c r="R42" s="262">
        <v>1.6525885558583107</v>
      </c>
      <c r="S42" s="262">
        <v>2.4173387096774195</v>
      </c>
      <c r="T42" s="262">
        <v>3.1104100946372242</v>
      </c>
    </row>
    <row r="43" spans="1:20" x14ac:dyDescent="0.3">
      <c r="A43" s="79" t="s">
        <v>234</v>
      </c>
      <c r="B43" s="79">
        <v>3.0908710811440764E-2</v>
      </c>
      <c r="C43" s="79">
        <v>2.9889907553032339E-2</v>
      </c>
      <c r="D43" s="79">
        <v>2.8263563666723196E-2</v>
      </c>
      <c r="E43" s="79">
        <v>2.2920005680550203E-2</v>
      </c>
      <c r="F43" s="79">
        <v>2.1611898845597662E-2</v>
      </c>
      <c r="G43" s="79">
        <v>2.4876600550061016E-2</v>
      </c>
      <c r="H43" s="79">
        <v>2.3322853167495598E-2</v>
      </c>
      <c r="I43" s="79">
        <v>2.0105800184491426E-2</v>
      </c>
      <c r="J43" s="79">
        <v>2.1113796382735545E-2</v>
      </c>
      <c r="K43" s="79">
        <v>1.9523370076841389E-2</v>
      </c>
      <c r="L43" s="79">
        <v>1.5343473889138481E-2</v>
      </c>
      <c r="M43" s="79">
        <v>1.5662354003118249E-2</v>
      </c>
      <c r="N43" s="79">
        <v>1.3182376689485695E-2</v>
      </c>
      <c r="O43" s="79">
        <v>1.1117642548623713E-2</v>
      </c>
      <c r="P43" s="79">
        <v>1.0789938013284187E-2</v>
      </c>
      <c r="Q43" s="79">
        <v>1.3476427750095821E-2</v>
      </c>
      <c r="R43" s="79">
        <v>1.6665493040396218E-2</v>
      </c>
      <c r="S43" s="79">
        <v>1.5887188644970598E-2</v>
      </c>
      <c r="T43" s="79">
        <v>1.008081313005082E-2</v>
      </c>
    </row>
    <row r="44" spans="1:20" x14ac:dyDescent="0.3">
      <c r="A44" s="262" t="s">
        <v>235</v>
      </c>
      <c r="B44" s="262">
        <v>28.837193670944298</v>
      </c>
      <c r="C44" s="262">
        <v>22.587017267616833</v>
      </c>
      <c r="D44" s="262">
        <v>23.391122856319186</v>
      </c>
      <c r="E44" s="262">
        <v>20.801963754945305</v>
      </c>
      <c r="F44" s="262">
        <v>21.950837680915992</v>
      </c>
      <c r="G44" s="262">
        <v>16.74258602902124</v>
      </c>
      <c r="H44" s="262">
        <v>18.158424594467483</v>
      </c>
      <c r="I44" s="262">
        <v>19.112441265758534</v>
      </c>
      <c r="J44" s="262">
        <v>18.298755977665166</v>
      </c>
      <c r="K44" s="262">
        <v>16.592130552188063</v>
      </c>
      <c r="L44" s="262">
        <v>16.45400597484695</v>
      </c>
      <c r="M44" s="262">
        <v>12.936366910663192</v>
      </c>
      <c r="N44" s="262">
        <v>12.384361877757428</v>
      </c>
      <c r="O44" s="262">
        <v>12.728365524522989</v>
      </c>
      <c r="P44" s="262">
        <v>8.1682821572312125</v>
      </c>
      <c r="Q44" s="262">
        <v>4.8204472336995057</v>
      </c>
      <c r="R44" s="262">
        <v>3.0621297752408396</v>
      </c>
      <c r="S44" s="262">
        <v>1.9949964496966544</v>
      </c>
      <c r="T44" s="262">
        <v>1.3963888051308528</v>
      </c>
    </row>
    <row r="45" spans="1:20" x14ac:dyDescent="0.3">
      <c r="A45" s="79" t="s">
        <v>119</v>
      </c>
      <c r="B45" s="79">
        <v>0.51968421100317863</v>
      </c>
      <c r="C45" s="79">
        <v>0.44307081174279211</v>
      </c>
      <c r="D45" s="79">
        <v>0.43389182916896241</v>
      </c>
      <c r="E45" s="79">
        <v>0.45174761493312454</v>
      </c>
      <c r="F45" s="79">
        <v>0.38925056182252571</v>
      </c>
      <c r="G45" s="79">
        <v>0.24269486859682882</v>
      </c>
      <c r="H45" s="79">
        <v>0.21577873710458856</v>
      </c>
      <c r="I45" s="79">
        <v>0.21399018541587575</v>
      </c>
      <c r="J45" s="79">
        <v>0.15796433612874414</v>
      </c>
      <c r="K45" s="79">
        <v>0.17572216933558327</v>
      </c>
      <c r="L45" s="79">
        <v>0.2376064998503695</v>
      </c>
      <c r="M45" s="79">
        <v>0.22201635599360539</v>
      </c>
      <c r="N45" s="79">
        <v>0.22151896555874101</v>
      </c>
      <c r="O45" s="79">
        <v>0.30062343096626387</v>
      </c>
      <c r="P45" s="79">
        <v>0.28967427286354258</v>
      </c>
      <c r="Q45" s="79">
        <v>0.25515225734706748</v>
      </c>
      <c r="R45" s="79">
        <v>0.21558501446655148</v>
      </c>
      <c r="S45" s="79">
        <v>0.17732066095363194</v>
      </c>
      <c r="T45" s="79">
        <v>0.19156334367408362</v>
      </c>
    </row>
    <row r="46" spans="1:20" x14ac:dyDescent="0.3">
      <c r="A46" s="79" t="s">
        <v>121</v>
      </c>
      <c r="B46" s="79">
        <v>0.31179625933565491</v>
      </c>
      <c r="C46" s="79">
        <v>0.25682503150857583</v>
      </c>
      <c r="D46" s="79">
        <v>0.27509834563776475</v>
      </c>
      <c r="E46" s="79">
        <v>0.28292440929256851</v>
      </c>
      <c r="F46" s="79">
        <v>0.26974205275183616</v>
      </c>
      <c r="G46" s="79">
        <v>0.1772557180259843</v>
      </c>
      <c r="H46" s="79">
        <v>0.16323009842961633</v>
      </c>
      <c r="I46" s="79">
        <v>0.16277530931710985</v>
      </c>
      <c r="J46" s="79">
        <v>0.131637553634047</v>
      </c>
      <c r="K46" s="79">
        <v>0.14593408418672102</v>
      </c>
      <c r="L46" s="79">
        <v>0.18978730059430715</v>
      </c>
      <c r="M46" s="79">
        <v>0.17711055625535119</v>
      </c>
      <c r="N46" s="79">
        <v>0.18404026952356345</v>
      </c>
      <c r="O46" s="79">
        <v>0.24447438563603879</v>
      </c>
      <c r="P46" s="79">
        <v>0.23157255290828041</v>
      </c>
      <c r="Q46" s="79">
        <v>0.18910931174089068</v>
      </c>
      <c r="R46" s="79">
        <v>0.17503400782179901</v>
      </c>
      <c r="S46" s="79">
        <v>0.13548586002970936</v>
      </c>
      <c r="T46" s="79">
        <v>0.13974410235905638</v>
      </c>
    </row>
    <row r="47" spans="1:20" x14ac:dyDescent="0.3">
      <c r="A47" s="262" t="s">
        <v>124</v>
      </c>
      <c r="B47" s="262">
        <v>-11.588738000468274</v>
      </c>
      <c r="C47" s="262">
        <v>-12.352478525015636</v>
      </c>
      <c r="D47" s="262">
        <v>-11.431345868845547</v>
      </c>
      <c r="E47" s="262">
        <v>-12.679296320545379</v>
      </c>
      <c r="F47" s="262">
        <v>-10.97841529675105</v>
      </c>
      <c r="G47" s="262">
        <v>-7.9236288086774875</v>
      </c>
      <c r="H47" s="262">
        <v>-6.012829824545447</v>
      </c>
      <c r="I47" s="262">
        <v>-7.7467743624753478</v>
      </c>
      <c r="J47" s="262">
        <v>-6.608316712163246</v>
      </c>
      <c r="K47" s="262">
        <v>-4.7178370884072223</v>
      </c>
      <c r="L47" s="262">
        <v>-4.5823715142695098</v>
      </c>
      <c r="M47" s="262">
        <v>-3.0295118519672433</v>
      </c>
      <c r="N47" s="262">
        <v>-1.0244307172244311</v>
      </c>
      <c r="O47" s="262">
        <v>-0.54672543173447929</v>
      </c>
      <c r="P47" s="262">
        <v>-0.17884019133628923</v>
      </c>
      <c r="Q47" s="262">
        <v>0.24333462362114736</v>
      </c>
      <c r="R47" s="262">
        <v>0.46484682953088485</v>
      </c>
      <c r="S47" s="262">
        <v>0.48692349425001263</v>
      </c>
      <c r="T47" s="262">
        <v>0.32078364661528075</v>
      </c>
    </row>
    <row r="48" spans="1:20" x14ac:dyDescent="0.3">
      <c r="A48" s="261" t="s">
        <v>236</v>
      </c>
      <c r="B48" s="261">
        <v>-17674000000</v>
      </c>
      <c r="C48" s="261">
        <v>-23405000000</v>
      </c>
      <c r="D48" s="261">
        <v>-1742000000</v>
      </c>
      <c r="E48" s="261">
        <v>-18577000000</v>
      </c>
      <c r="F48" s="261">
        <v>9355000000</v>
      </c>
      <c r="G48" s="261">
        <v>38321000000</v>
      </c>
      <c r="H48" s="261">
        <v>57101000000</v>
      </c>
      <c r="I48" s="261">
        <v>15410000000</v>
      </c>
      <c r="J48" s="261">
        <v>27831000000</v>
      </c>
      <c r="K48" s="261">
        <v>27863000000</v>
      </c>
      <c r="L48" s="261">
        <v>8768000000</v>
      </c>
      <c r="M48" s="261">
        <v>5083000000</v>
      </c>
      <c r="N48" s="261">
        <v>29628000000</v>
      </c>
      <c r="O48" s="261">
        <v>19111000000</v>
      </c>
      <c r="P48" s="261">
        <v>17018000000</v>
      </c>
      <c r="Q48" s="261">
        <v>20956000000</v>
      </c>
      <c r="R48" s="261">
        <v>20049000000</v>
      </c>
      <c r="S48" s="261">
        <v>18645000000</v>
      </c>
      <c r="T48" s="261">
        <v>12676000000</v>
      </c>
    </row>
    <row r="49" spans="1:20" x14ac:dyDescent="0.3">
      <c r="A49" s="261" t="s">
        <v>237</v>
      </c>
      <c r="B49" s="261">
        <v>73733000000</v>
      </c>
      <c r="C49" s="261">
        <v>56950000000</v>
      </c>
      <c r="D49" s="261">
        <v>62146000000</v>
      </c>
      <c r="E49" s="261">
        <v>50672000000</v>
      </c>
      <c r="F49" s="261">
        <v>63090000000</v>
      </c>
      <c r="G49" s="261">
        <v>65339000000</v>
      </c>
      <c r="H49" s="261">
        <v>90488000000</v>
      </c>
      <c r="I49" s="261">
        <v>107147000000</v>
      </c>
      <c r="J49" s="261">
        <v>126032000000</v>
      </c>
      <c r="K49" s="261">
        <v>119629000000</v>
      </c>
      <c r="L49" s="261">
        <v>110346000000</v>
      </c>
      <c r="M49" s="261">
        <v>102789000000</v>
      </c>
      <c r="N49" s="261">
        <v>117793000000</v>
      </c>
      <c r="O49" s="261">
        <v>112851000000</v>
      </c>
      <c r="P49" s="261">
        <v>72183000000</v>
      </c>
      <c r="Q49" s="261">
        <v>46708000000</v>
      </c>
      <c r="R49" s="261">
        <v>31187000000</v>
      </c>
      <c r="S49" s="261">
        <v>21805000000</v>
      </c>
      <c r="T49" s="261">
        <v>14195000000</v>
      </c>
    </row>
    <row r="50" spans="1:20" x14ac:dyDescent="0.3">
      <c r="A50" s="261" t="s">
        <v>238</v>
      </c>
      <c r="B50" s="261">
        <v>-137551000000</v>
      </c>
      <c r="C50" s="261">
        <v>-155043000000</v>
      </c>
      <c r="D50" s="261">
        <v>-146871000000</v>
      </c>
      <c r="E50" s="261">
        <v>-166678000000</v>
      </c>
      <c r="F50" s="261">
        <v>-153076000000</v>
      </c>
      <c r="G50" s="261">
        <v>-114836000000</v>
      </c>
      <c r="H50" s="261">
        <v>-85209000000</v>
      </c>
      <c r="I50" s="261">
        <v>-127239000000</v>
      </c>
      <c r="J50" s="261">
        <v>-112627000000</v>
      </c>
      <c r="K50" s="261">
        <v>-86568000000</v>
      </c>
      <c r="L50" s="261">
        <v>-81612000000</v>
      </c>
      <c r="M50" s="261">
        <v>-51761000000</v>
      </c>
      <c r="N50" s="261">
        <v>-10165000000</v>
      </c>
      <c r="O50" s="261">
        <v>-201000000</v>
      </c>
      <c r="P50" s="261">
        <v>5232000000</v>
      </c>
      <c r="Q50" s="261">
        <v>14286000000</v>
      </c>
      <c r="R50" s="261">
        <v>15694000000</v>
      </c>
      <c r="S50" s="261">
        <v>16132000000</v>
      </c>
      <c r="T50" s="261">
        <v>11141000000</v>
      </c>
    </row>
    <row r="51" spans="1:20" x14ac:dyDescent="0.3">
      <c r="A51" s="261" t="s">
        <v>239</v>
      </c>
      <c r="B51" s="261">
        <v>69600000000</v>
      </c>
      <c r="C51" s="261">
        <v>63614000000</v>
      </c>
      <c r="D51" s="261">
        <v>60958500000</v>
      </c>
      <c r="E51" s="261">
        <v>56219000000</v>
      </c>
      <c r="F51" s="261">
        <v>44475500000</v>
      </c>
      <c r="G51" s="261">
        <v>41624500000</v>
      </c>
      <c r="H51" s="261">
        <v>47399500000</v>
      </c>
      <c r="I51" s="261">
        <v>42334000000</v>
      </c>
      <c r="J51" s="261">
        <v>32486000000</v>
      </c>
      <c r="K51" s="261">
        <v>29821000000</v>
      </c>
      <c r="L51" s="261">
        <v>28781000000</v>
      </c>
      <c r="M51" s="261">
        <v>23930000000</v>
      </c>
      <c r="N51" s="261">
        <v>19666500000</v>
      </c>
      <c r="O51" s="261">
        <v>15204500000</v>
      </c>
      <c r="P51" s="261">
        <v>10820500000</v>
      </c>
      <c r="Q51" s="261">
        <v>7490500000</v>
      </c>
      <c r="R51" s="261">
        <v>4880500000</v>
      </c>
      <c r="S51" s="261">
        <v>4366500000</v>
      </c>
      <c r="T51" s="261">
        <v>3437000000</v>
      </c>
    </row>
    <row r="52" spans="1:20" x14ac:dyDescent="0.3">
      <c r="A52" s="261" t="s">
        <v>240</v>
      </c>
      <c r="B52" s="261">
        <v>69410000000</v>
      </c>
      <c r="C52" s="261">
        <v>65785500000</v>
      </c>
      <c r="D52" s="261">
        <v>63363000000</v>
      </c>
      <c r="E52" s="261">
        <v>59439000000</v>
      </c>
      <c r="F52" s="261">
        <v>48529500000</v>
      </c>
      <c r="G52" s="261">
        <v>44266000000</v>
      </c>
      <c r="H52" s="261">
        <v>51062000000</v>
      </c>
      <c r="I52" s="261">
        <v>50065000000</v>
      </c>
      <c r="J52" s="261">
        <v>40768000000</v>
      </c>
      <c r="K52" s="261">
        <v>36392000000</v>
      </c>
      <c r="L52" s="261">
        <v>32843000000</v>
      </c>
      <c r="M52" s="261">
        <v>26281500000</v>
      </c>
      <c r="N52" s="261">
        <v>21771000000</v>
      </c>
      <c r="O52" s="261">
        <v>17903500000</v>
      </c>
      <c r="P52" s="261">
        <v>13323500000</v>
      </c>
      <c r="Q52" s="261">
        <v>8808000000</v>
      </c>
      <c r="R52" s="261">
        <v>5560500000</v>
      </c>
      <c r="S52" s="261">
        <v>5245000000</v>
      </c>
      <c r="T52" s="261">
        <v>4180000000</v>
      </c>
    </row>
    <row r="53" spans="1:20" x14ac:dyDescent="0.3">
      <c r="A53" s="261" t="s">
        <v>241</v>
      </c>
      <c r="B53" s="261">
        <v>6502000000</v>
      </c>
      <c r="C53" s="261">
        <v>6808500000</v>
      </c>
      <c r="D53" s="261">
        <v>5638500000</v>
      </c>
      <c r="E53" s="261">
        <v>5763000000</v>
      </c>
      <c r="F53" s="261">
        <v>5320500000</v>
      </c>
      <c r="G53" s="261">
        <v>4083500000</v>
      </c>
      <c r="H53" s="261">
        <v>4031000000</v>
      </c>
      <c r="I53" s="261">
        <v>4405500000</v>
      </c>
      <c r="J53" s="261">
        <v>3493500000</v>
      </c>
      <c r="K53" s="261">
        <v>2240500000</v>
      </c>
      <c r="L53" s="261">
        <v>2230000000</v>
      </c>
      <c r="M53" s="261">
        <v>1937500000</v>
      </c>
      <c r="N53" s="261">
        <v>1277500000</v>
      </c>
      <c r="O53" s="261">
        <v>783500000</v>
      </c>
      <c r="P53" s="261">
        <v>913500000</v>
      </c>
      <c r="Q53" s="261">
        <v>753000000</v>
      </c>
      <c r="R53" s="261">
        <v>482000000</v>
      </c>
      <c r="S53" s="261">
        <v>427500000</v>
      </c>
      <c r="T53" s="261">
        <v>308000000</v>
      </c>
    </row>
    <row r="54" spans="1:20" x14ac:dyDescent="0.3">
      <c r="A54" s="262" t="s">
        <v>242</v>
      </c>
      <c r="B54" s="262">
        <v>63.987987822020798</v>
      </c>
      <c r="C54" s="262">
        <v>61.832559745291341</v>
      </c>
      <c r="D54" s="262">
        <v>58.075648668745188</v>
      </c>
      <c r="E54" s="262">
        <v>56.400204905560855</v>
      </c>
      <c r="F54" s="262">
        <v>51.390968708397914</v>
      </c>
      <c r="G54" s="262">
        <v>49.787534378813547</v>
      </c>
      <c r="H54" s="262">
        <v>64.258765287845833</v>
      </c>
      <c r="I54" s="262">
        <v>67.332498729268252</v>
      </c>
      <c r="J54" s="262">
        <v>56.800670930141258</v>
      </c>
      <c r="K54" s="262">
        <v>49.59276846952546</v>
      </c>
      <c r="L54" s="262">
        <v>47.387608839826285</v>
      </c>
      <c r="M54" s="262">
        <v>54.350146338794829</v>
      </c>
      <c r="N54" s="262">
        <v>44.081475630448772</v>
      </c>
      <c r="O54" s="262">
        <v>43.592532011143199</v>
      </c>
      <c r="P54" s="262">
        <v>39.508032406765885</v>
      </c>
      <c r="Q54" s="262">
        <v>55.534840935224217</v>
      </c>
      <c r="R54" s="262">
        <v>43.325704762575405</v>
      </c>
      <c r="S54" s="262">
        <v>52.863696542381227</v>
      </c>
      <c r="T54" s="262">
        <v>61.259060234941266</v>
      </c>
    </row>
    <row r="55" spans="1:20" x14ac:dyDescent="0.3">
      <c r="A55" s="262" t="s">
        <v>243</v>
      </c>
      <c r="B55" s="262">
        <v>115.40052498189719</v>
      </c>
      <c r="C55" s="262">
        <v>119.65847721913745</v>
      </c>
      <c r="D55" s="262">
        <v>106.72146803214763</v>
      </c>
      <c r="E55" s="262">
        <v>104.68527730310539</v>
      </c>
      <c r="F55" s="262">
        <v>93.85107122231561</v>
      </c>
      <c r="G55" s="262">
        <v>91.048189715674184</v>
      </c>
      <c r="H55" s="262">
        <v>104.31407696777144</v>
      </c>
      <c r="I55" s="262">
        <v>124.57021422115831</v>
      </c>
      <c r="J55" s="262">
        <v>114.48818841812715</v>
      </c>
      <c r="K55" s="262">
        <v>103.61336926074777</v>
      </c>
      <c r="L55" s="262">
        <v>92.468716316056216</v>
      </c>
      <c r="M55" s="262">
        <v>98.180441483012345</v>
      </c>
      <c r="N55" s="262">
        <v>76.580633360223629</v>
      </c>
      <c r="O55" s="262">
        <v>87.982093663911854</v>
      </c>
      <c r="P55" s="262">
        <v>82.889913240520869</v>
      </c>
      <c r="Q55" s="262">
        <v>110.90956222654967</v>
      </c>
      <c r="R55" s="262">
        <v>79.389732437575248</v>
      </c>
      <c r="S55" s="262">
        <v>94.440798725039841</v>
      </c>
      <c r="T55" s="262">
        <v>114.43666414332576</v>
      </c>
    </row>
    <row r="56" spans="1:20" x14ac:dyDescent="0.3">
      <c r="A56" s="262" t="s">
        <v>244</v>
      </c>
      <c r="B56" s="262">
        <v>9.4454652425778427</v>
      </c>
      <c r="C56" s="262">
        <v>12.642570548414087</v>
      </c>
      <c r="D56" s="262">
        <v>10.791292490321615</v>
      </c>
      <c r="E56" s="262">
        <v>8.0756980666171607</v>
      </c>
      <c r="F56" s="262">
        <v>11.27659274770989</v>
      </c>
      <c r="G56" s="262">
        <v>8.7418833562358813</v>
      </c>
      <c r="H56" s="262">
        <v>9.263638723714628</v>
      </c>
      <c r="I56" s="262">
        <v>8.8176311096997964</v>
      </c>
      <c r="J56" s="262">
        <v>12.563630820713515</v>
      </c>
      <c r="K56" s="262">
        <v>5.9233041042503958</v>
      </c>
      <c r="L56" s="262">
        <v>6.1202878170306017</v>
      </c>
      <c r="M56" s="262">
        <v>6.8637869906821782</v>
      </c>
      <c r="N56" s="262">
        <v>6.0396225353169619</v>
      </c>
      <c r="O56" s="262">
        <v>3.2866038294287732</v>
      </c>
      <c r="P56" s="262">
        <v>4.3960205491145565</v>
      </c>
      <c r="Q56" s="262">
        <v>9.7017020308034709</v>
      </c>
      <c r="R56" s="262">
        <v>6.449264106248302</v>
      </c>
      <c r="S56" s="262">
        <v>8.7083997375082021</v>
      </c>
      <c r="T56" s="262">
        <v>7.9668180671208679</v>
      </c>
    </row>
    <row r="57" spans="1:20" x14ac:dyDescent="0.3">
      <c r="A57" s="262" t="s">
        <v>91</v>
      </c>
      <c r="B57" s="262">
        <v>5.7041956220787586</v>
      </c>
      <c r="C57" s="262">
        <v>5.903038811648023</v>
      </c>
      <c r="D57" s="262">
        <v>6.2849061244568336</v>
      </c>
      <c r="E57" s="262">
        <v>6.4716076938226221</v>
      </c>
      <c r="F57" s="262">
        <v>7.1024152525919311</v>
      </c>
      <c r="G57" s="262">
        <v>7.3311523567899588</v>
      </c>
      <c r="H57" s="262">
        <v>5.6801589380840101</v>
      </c>
      <c r="I57" s="262">
        <v>5.4208592713542201</v>
      </c>
      <c r="J57" s="262">
        <v>6.425980433380988</v>
      </c>
      <c r="K57" s="262">
        <v>7.3599440253933581</v>
      </c>
      <c r="L57" s="262">
        <v>7.7024354875918659</v>
      </c>
      <c r="M57" s="262">
        <v>6.7157132885117017</v>
      </c>
      <c r="N57" s="262">
        <v>8.2801220871081824</v>
      </c>
      <c r="O57" s="262">
        <v>8.3729937941365282</v>
      </c>
      <c r="P57" s="262">
        <v>9.238627635060169</v>
      </c>
      <c r="Q57" s="262">
        <v>6.5724506247480852</v>
      </c>
      <c r="R57" s="262">
        <v>8.4245600158196563</v>
      </c>
      <c r="S57" s="262">
        <v>6.9045493197278915</v>
      </c>
      <c r="T57" s="262">
        <v>5.9583023082650781</v>
      </c>
    </row>
    <row r="58" spans="1:20" x14ac:dyDescent="0.3">
      <c r="A58" s="262" t="s">
        <v>93</v>
      </c>
      <c r="B58" s="262">
        <v>3.1628972230174637</v>
      </c>
      <c r="C58" s="262">
        <v>3.0503480278422272</v>
      </c>
      <c r="D58" s="262">
        <v>3.4201178706617048</v>
      </c>
      <c r="E58" s="262">
        <v>3.486641191608828</v>
      </c>
      <c r="F58" s="262">
        <v>3.8891404780600038</v>
      </c>
      <c r="G58" s="262">
        <v>4.0088660866275774</v>
      </c>
      <c r="H58" s="262">
        <v>3.4990483605848257</v>
      </c>
      <c r="I58" s="262">
        <v>2.9300744345834526</v>
      </c>
      <c r="J58" s="262">
        <v>3.1881018037159259</v>
      </c>
      <c r="K58" s="262">
        <v>3.5227114281117604</v>
      </c>
      <c r="L58" s="262">
        <v>3.947280924204001</v>
      </c>
      <c r="M58" s="262">
        <v>3.71764472115512</v>
      </c>
      <c r="N58" s="262">
        <v>4.7662180891491932</v>
      </c>
      <c r="O58" s="262">
        <v>4.1485714285714286</v>
      </c>
      <c r="P58" s="262">
        <v>4.4034308365226904</v>
      </c>
      <c r="Q58" s="262">
        <v>3.2909696213066999</v>
      </c>
      <c r="R58" s="262">
        <v>4.5975718621674702</v>
      </c>
      <c r="S58" s="262">
        <v>3.8648550724637682</v>
      </c>
      <c r="T58" s="262">
        <v>3.1895372233400403</v>
      </c>
    </row>
    <row r="59" spans="1:20" x14ac:dyDescent="0.3">
      <c r="A59" s="262" t="s">
        <v>95</v>
      </c>
      <c r="B59" s="262">
        <v>38.6428821266177</v>
      </c>
      <c r="C59" s="262">
        <v>28.870710952511665</v>
      </c>
      <c r="D59" s="262">
        <v>33.823566577160008</v>
      </c>
      <c r="E59" s="262">
        <v>45.197331176708452</v>
      </c>
      <c r="F59" s="262">
        <v>32.367933130699086</v>
      </c>
      <c r="G59" s="262">
        <v>41.753016498399411</v>
      </c>
      <c r="H59" s="262">
        <v>39.40136385776912</v>
      </c>
      <c r="I59" s="262">
        <v>41.394337714863497</v>
      </c>
      <c r="J59" s="262">
        <v>29.052111225540681</v>
      </c>
      <c r="K59" s="262">
        <v>61.621013133208258</v>
      </c>
      <c r="L59" s="262">
        <v>59.637718177948067</v>
      </c>
      <c r="M59" s="262">
        <v>53.17764092846992</v>
      </c>
      <c r="N59" s="262">
        <v>60.434240362811792</v>
      </c>
      <c r="O59" s="262">
        <v>111.05689001264223</v>
      </c>
      <c r="P59" s="262">
        <v>83.029639175257728</v>
      </c>
      <c r="Q59" s="262">
        <v>37.622264509990487</v>
      </c>
      <c r="R59" s="262">
        <v>56.595604395604397</v>
      </c>
      <c r="S59" s="262">
        <v>41.913555992141454</v>
      </c>
      <c r="T59" s="262">
        <v>45.815028901734102</v>
      </c>
    </row>
    <row r="60" spans="1:20" x14ac:dyDescent="0.3">
      <c r="A60" s="79" t="s">
        <v>123</v>
      </c>
      <c r="B60" s="79">
        <v>1.5191298333175105</v>
      </c>
      <c r="C60" s="79">
        <v>1.6459350307287095</v>
      </c>
      <c r="D60" s="79">
        <v>1.5607601454639075</v>
      </c>
      <c r="E60" s="79">
        <v>1.9695887275023682</v>
      </c>
      <c r="F60" s="79">
        <v>1.5007132667617689</v>
      </c>
      <c r="G60" s="79">
        <v>0.87866358530127486</v>
      </c>
      <c r="H60" s="79">
        <v>0.61064450534877557</v>
      </c>
      <c r="I60" s="79">
        <v>0.5556011834209077</v>
      </c>
      <c r="J60" s="79">
        <v>0.36070184338329092</v>
      </c>
      <c r="K60" s="79">
        <v>0.35623669580269629</v>
      </c>
      <c r="L60" s="79">
        <v>0.44735453060198566</v>
      </c>
      <c r="M60" s="79">
        <v>0.35420047155010892</v>
      </c>
      <c r="N60" s="79">
        <v>0.29977579745687943</v>
      </c>
      <c r="O60" s="79">
        <v>0.35304119786820065</v>
      </c>
      <c r="P60" s="79">
        <v>0.3383410559289956</v>
      </c>
      <c r="Q60" s="79">
        <v>0.29321420351112132</v>
      </c>
      <c r="R60" s="79">
        <v>0.26027180783817949</v>
      </c>
      <c r="S60" s="79">
        <v>0.2168004664304615</v>
      </c>
      <c r="T60" s="79">
        <v>0.24050371593724196</v>
      </c>
    </row>
    <row r="61" spans="1:20" x14ac:dyDescent="0.3">
      <c r="A61" s="262" t="s">
        <v>245</v>
      </c>
      <c r="B61" s="262">
        <v>0.85058701541960735</v>
      </c>
      <c r="C61" s="262">
        <v>0.61568910352811945</v>
      </c>
      <c r="D61" s="262">
        <v>0.69606448228560669</v>
      </c>
      <c r="E61" s="262">
        <v>0.66033697782857548</v>
      </c>
      <c r="F61" s="262">
        <v>0.66372190094263483</v>
      </c>
      <c r="G61" s="262">
        <v>0.42121656726766338</v>
      </c>
      <c r="H61" s="262">
        <v>0.56817763479588046</v>
      </c>
      <c r="I61" s="262">
        <v>0.67164415542954659</v>
      </c>
      <c r="J61" s="262">
        <v>0.61311129520156438</v>
      </c>
      <c r="K61" s="262">
        <v>0.61910280360165382</v>
      </c>
      <c r="L61" s="262">
        <v>0.49918126971761673</v>
      </c>
      <c r="M61" s="262">
        <v>0.40312562237370619</v>
      </c>
      <c r="N61" s="262">
        <v>0.35029936005911089</v>
      </c>
      <c r="O61" s="262">
        <v>0.35919866595629607</v>
      </c>
      <c r="P61" s="262">
        <v>0.2879527047670345</v>
      </c>
      <c r="Q61" s="262">
        <v>8.3291008908327857E-2</v>
      </c>
      <c r="R61" s="262">
        <v>4.8511320346801737E-2</v>
      </c>
      <c r="S61" s="262">
        <v>4.8572841599547834E-2</v>
      </c>
      <c r="T61" s="262">
        <v>4.0729185920570045E-2</v>
      </c>
    </row>
  </sheetData>
  <mergeCells count="1">
    <mergeCell ref="B4:T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812F-005A-470C-BB86-48B5E38F92A2}">
  <dimension ref="A1:T40"/>
  <sheetViews>
    <sheetView workbookViewId="0"/>
  </sheetViews>
  <sheetFormatPr defaultRowHeight="14.4" x14ac:dyDescent="0.3"/>
  <cols>
    <col min="1" max="1" width="38.5546875" bestFit="1" customWidth="1"/>
    <col min="2" max="2" width="13.77734375" bestFit="1" customWidth="1"/>
    <col min="3" max="20" width="10.33203125" bestFit="1" customWidth="1"/>
  </cols>
  <sheetData>
    <row r="1" spans="1:20" x14ac:dyDescent="0.3">
      <c r="A1" s="268" t="s">
        <v>280</v>
      </c>
      <c r="B1" s="268"/>
      <c r="C1" s="268"/>
      <c r="D1" s="268"/>
      <c r="E1" s="268"/>
      <c r="F1" s="268"/>
      <c r="G1" s="268"/>
      <c r="H1" s="268"/>
      <c r="I1" s="268"/>
      <c r="J1" s="268"/>
      <c r="K1" s="268"/>
      <c r="L1" s="268"/>
      <c r="M1" s="268"/>
      <c r="N1" s="268"/>
      <c r="O1" s="268"/>
      <c r="P1" s="268"/>
      <c r="Q1" s="268"/>
      <c r="R1" s="268"/>
      <c r="S1" s="268"/>
      <c r="T1" s="268"/>
    </row>
    <row r="2" spans="1:20" x14ac:dyDescent="0.3">
      <c r="A2" t="s">
        <v>325</v>
      </c>
      <c r="B2" t="s">
        <v>326</v>
      </c>
    </row>
    <row r="3" spans="1:20" x14ac:dyDescent="0.3">
      <c r="A3" t="s">
        <v>327</v>
      </c>
      <c r="B3" t="str">
        <f>'AAPL - Income Statement FY'!B3</f>
        <v>USD</v>
      </c>
    </row>
    <row r="4" spans="1:20" x14ac:dyDescent="0.3">
      <c r="A4" t="s">
        <v>335</v>
      </c>
      <c r="B4" s="243" t="s">
        <v>336</v>
      </c>
      <c r="C4" s="243"/>
      <c r="D4" s="243"/>
      <c r="E4" s="243"/>
      <c r="F4" s="243"/>
      <c r="G4" s="243"/>
      <c r="H4" s="243"/>
      <c r="I4" s="243"/>
      <c r="J4" s="243"/>
      <c r="K4" s="243"/>
      <c r="L4" s="243"/>
      <c r="M4" s="243"/>
      <c r="N4" s="243"/>
      <c r="O4" s="243"/>
      <c r="P4" s="243"/>
      <c r="Q4" s="243"/>
      <c r="R4" s="243"/>
      <c r="S4" s="243"/>
      <c r="T4" s="243"/>
    </row>
    <row r="5" spans="1:20" x14ac:dyDescent="0.3">
      <c r="A5" t="s">
        <v>337</v>
      </c>
      <c r="B5" s="267">
        <v>45927</v>
      </c>
      <c r="C5" s="267">
        <v>45563</v>
      </c>
      <c r="D5" s="267">
        <v>45199</v>
      </c>
      <c r="E5" s="267">
        <v>44828</v>
      </c>
      <c r="F5" s="267">
        <v>44464</v>
      </c>
      <c r="G5" s="267">
        <v>44100</v>
      </c>
      <c r="H5" s="267">
        <v>43736</v>
      </c>
      <c r="I5" s="267">
        <v>43372</v>
      </c>
      <c r="J5" s="267">
        <v>43008</v>
      </c>
      <c r="K5" s="267">
        <v>42637</v>
      </c>
      <c r="L5" s="267">
        <v>42273</v>
      </c>
      <c r="M5" s="267">
        <v>41909</v>
      </c>
      <c r="N5" s="267">
        <v>41545</v>
      </c>
      <c r="O5" s="267">
        <v>41181</v>
      </c>
      <c r="P5" s="267">
        <v>40810</v>
      </c>
      <c r="Q5" s="267">
        <v>40446</v>
      </c>
      <c r="R5" s="267">
        <v>40082</v>
      </c>
      <c r="S5" s="267">
        <v>39718</v>
      </c>
      <c r="T5" s="267">
        <v>39354</v>
      </c>
    </row>
    <row r="7" spans="1:20" x14ac:dyDescent="0.3">
      <c r="A7" s="79" t="s">
        <v>247</v>
      </c>
      <c r="B7" s="79">
        <v>6.4255117828327393E-2</v>
      </c>
      <c r="C7" s="79">
        <v>2.0219940775141214E-2</v>
      </c>
      <c r="D7" s="79">
        <v>-2.8004605303199367E-2</v>
      </c>
      <c r="E7" s="79">
        <v>7.7937876041846058E-2</v>
      </c>
      <c r="F7" s="79">
        <v>0.33259384733074693</v>
      </c>
      <c r="G7" s="79">
        <v>5.5120803769784836E-2</v>
      </c>
      <c r="H7" s="79">
        <v>-2.0410775805267418E-2</v>
      </c>
      <c r="I7" s="79">
        <v>0.15861957650261305</v>
      </c>
      <c r="J7" s="79">
        <v>6.3045181993980681E-2</v>
      </c>
      <c r="K7" s="79">
        <v>-7.734206191301371E-2</v>
      </c>
      <c r="L7" s="79">
        <v>0.2785634180365984</v>
      </c>
      <c r="M7" s="79">
        <v>6.9539523725937621E-2</v>
      </c>
      <c r="N7" s="79">
        <v>9.202085516395328E-2</v>
      </c>
      <c r="O7" s="79">
        <v>0.44581474193756987</v>
      </c>
      <c r="P7" s="79">
        <v>0.65962437715599842</v>
      </c>
      <c r="Q7" s="79">
        <v>0.53099546980259604</v>
      </c>
      <c r="R7" s="79">
        <v>0.31170910434434557</v>
      </c>
      <c r="S7" s="79">
        <v>0.35295342830958926</v>
      </c>
      <c r="T7" s="79">
        <v>0.24286823712140823</v>
      </c>
    </row>
    <row r="8" spans="1:20" x14ac:dyDescent="0.3">
      <c r="A8" s="79" t="s">
        <v>248</v>
      </c>
      <c r="B8" s="79">
        <v>8.0350669404426533E-2</v>
      </c>
      <c r="C8" s="79">
        <v>6.8194717052522058E-2</v>
      </c>
      <c r="D8" s="79">
        <v>-9.5677530418896602E-3</v>
      </c>
      <c r="E8" s="79">
        <v>0.11741997958596143</v>
      </c>
      <c r="F8" s="79">
        <v>0.45619116582186819</v>
      </c>
      <c r="G8" s="79">
        <v>6.6712740873241722E-2</v>
      </c>
      <c r="H8" s="79">
        <v>-3.3847543671874231E-2</v>
      </c>
      <c r="I8" s="79">
        <v>0.15482049304878326</v>
      </c>
      <c r="J8" s="79">
        <v>4.6556614409645987E-2</v>
      </c>
      <c r="K8" s="79">
        <v>-0.10000427231751864</v>
      </c>
      <c r="L8" s="79">
        <v>0.32733175496547912</v>
      </c>
      <c r="M8" s="79">
        <v>9.6930206519034584E-2</v>
      </c>
      <c r="N8" s="79">
        <v>-6.3470332935248022E-2</v>
      </c>
      <c r="O8" s="79">
        <v>0.56698160573280387</v>
      </c>
      <c r="P8" s="79">
        <v>0.70604267248092201</v>
      </c>
      <c r="Q8" s="79">
        <v>0.52409209589366246</v>
      </c>
      <c r="R8" s="79">
        <v>0.51206819201435616</v>
      </c>
      <c r="S8" s="79">
        <v>0.36681383370125092</v>
      </c>
      <c r="T8" s="79">
        <v>0.45659163987138263</v>
      </c>
    </row>
    <row r="9" spans="1:20" x14ac:dyDescent="0.3">
      <c r="A9" s="79" t="s">
        <v>249</v>
      </c>
      <c r="B9" s="79">
        <v>7.4859294651172206E-2</v>
      </c>
      <c r="C9" s="79">
        <v>4.9426781905174688E-2</v>
      </c>
      <c r="D9" s="79">
        <v>-3.5768720192733174E-2</v>
      </c>
      <c r="E9" s="79">
        <v>9.1031005256946684E-2</v>
      </c>
      <c r="F9" s="79">
        <v>0.59870790692356068</v>
      </c>
      <c r="G9" s="79">
        <v>9.3921775135977371E-3</v>
      </c>
      <c r="H9" s="79">
        <v>-8.9699644090724034E-2</v>
      </c>
      <c r="I9" s="79">
        <v>0.14652472444738904</v>
      </c>
      <c r="J9" s="79">
        <v>5.7044629782899342E-2</v>
      </c>
      <c r="K9" s="79">
        <v>-0.14225644386194844</v>
      </c>
      <c r="L9" s="79">
        <v>0.35979356563387604</v>
      </c>
      <c r="M9" s="79">
        <v>7.1106162136366349E-2</v>
      </c>
      <c r="N9" s="79">
        <v>-9.8129584132847947E-2</v>
      </c>
      <c r="O9" s="79">
        <v>0.63025873410320132</v>
      </c>
      <c r="P9" s="79">
        <v>0.86048409029099815</v>
      </c>
      <c r="Q9" s="79">
        <v>0.61697449428320139</v>
      </c>
      <c r="R9" s="79">
        <v>0.64902102973168962</v>
      </c>
      <c r="S9" s="79">
        <v>0.56455638756523707</v>
      </c>
      <c r="T9" s="79">
        <v>0.79657562168772933</v>
      </c>
    </row>
    <row r="10" spans="1:20" x14ac:dyDescent="0.3">
      <c r="A10" s="79" t="s">
        <v>250</v>
      </c>
      <c r="B10" s="79">
        <v>7.9811063498246987E-2</v>
      </c>
      <c r="C10" s="79">
        <v>7.799581805933456E-2</v>
      </c>
      <c r="D10" s="79">
        <v>-4.3001749876503931E-2</v>
      </c>
      <c r="E10" s="79">
        <v>9.6265225013538444E-2</v>
      </c>
      <c r="F10" s="79">
        <v>0.64357048032826458</v>
      </c>
      <c r="G10" s="79">
        <v>3.6884091975598311E-2</v>
      </c>
      <c r="H10" s="79">
        <v>-9.8282038985584921E-2</v>
      </c>
      <c r="I10" s="79">
        <v>0.15574465310380803</v>
      </c>
      <c r="J10" s="79">
        <v>2.1991203518592562E-2</v>
      </c>
      <c r="K10" s="79">
        <v>-0.15732135336234732</v>
      </c>
      <c r="L10" s="79">
        <v>0.35668437994019392</v>
      </c>
      <c r="M10" s="79">
        <v>7.1511663503336806E-2</v>
      </c>
      <c r="N10" s="79">
        <v>-0.11299578211835412</v>
      </c>
      <c r="O10" s="79">
        <v>0.63483279076649901</v>
      </c>
      <c r="P10" s="79">
        <v>0.83791134076692952</v>
      </c>
      <c r="Q10" s="79">
        <v>0.61697449428320139</v>
      </c>
      <c r="R10" s="79">
        <v>0.81195219123505979</v>
      </c>
      <c r="S10" s="79">
        <v>0.42322522113858019</v>
      </c>
      <c r="T10" s="79">
        <v>0.79739094985731762</v>
      </c>
    </row>
    <row r="11" spans="1:20" x14ac:dyDescent="0.3">
      <c r="A11" s="79" t="s">
        <v>251</v>
      </c>
      <c r="B11" s="79">
        <v>0.19495177946573355</v>
      </c>
      <c r="C11" s="79">
        <v>-3.3599670086086914E-2</v>
      </c>
      <c r="D11" s="79">
        <v>-2.8135426790777834E-2</v>
      </c>
      <c r="E11" s="79">
        <v>5.4108576256865229E-2</v>
      </c>
      <c r="F11" s="79">
        <v>0.64916131055024295</v>
      </c>
      <c r="G11" s="79">
        <v>3.9000289561314606E-2</v>
      </c>
      <c r="H11" s="79">
        <v>-7.1811325191916811E-2</v>
      </c>
      <c r="I11" s="79">
        <v>0.23122582780087278</v>
      </c>
      <c r="J11" s="79">
        <v>5.8309803664061986E-2</v>
      </c>
      <c r="K11" s="79">
        <v>-0.14434206090571974</v>
      </c>
      <c r="L11" s="79">
        <v>0.35140470766894455</v>
      </c>
      <c r="M11" s="79">
        <v>6.677106677106677E-2</v>
      </c>
      <c r="N11" s="79">
        <v>-0.11252486042220784</v>
      </c>
      <c r="O11" s="79">
        <v>0.60994522027621323</v>
      </c>
      <c r="P11" s="79">
        <v>0.84985370727181897</v>
      </c>
      <c r="Q11" s="79">
        <v>0.70163934426229513</v>
      </c>
      <c r="R11" s="79">
        <v>0.70355812991311539</v>
      </c>
      <c r="S11" s="79">
        <v>0.38311874105865523</v>
      </c>
      <c r="T11" s="79">
        <v>0.75716440422322773</v>
      </c>
    </row>
    <row r="12" spans="1:20" x14ac:dyDescent="0.3">
      <c r="A12" s="79" t="s">
        <v>252</v>
      </c>
      <c r="B12" s="79">
        <v>0.22585924713584285</v>
      </c>
      <c r="C12" s="79">
        <v>-8.1168831168830884E-3</v>
      </c>
      <c r="D12" s="79">
        <v>1.6260162601625669E-3</v>
      </c>
      <c r="E12" s="79">
        <v>8.4656084656084735E-2</v>
      </c>
      <c r="F12" s="79">
        <v>0.71299093655589119</v>
      </c>
      <c r="G12" s="79">
        <v>0.1070234113712374</v>
      </c>
      <c r="H12" s="79">
        <v>-3.3333333333332624E-3</v>
      </c>
      <c r="I12" s="79">
        <v>0.29310344827586216</v>
      </c>
      <c r="J12" s="79">
        <v>0.11004784688995216</v>
      </c>
      <c r="K12" s="79">
        <v>-9.9137931034482762E-2</v>
      </c>
      <c r="L12" s="79">
        <v>0.43209876543209857</v>
      </c>
      <c r="M12" s="79">
        <v>0.132867132867133</v>
      </c>
      <c r="N12" s="79">
        <v>-0.10062893081761015</v>
      </c>
      <c r="O12" s="79">
        <v>0.59000000000000008</v>
      </c>
      <c r="P12" s="79">
        <v>0.81818181818181801</v>
      </c>
      <c r="Q12" s="79">
        <v>0.66666666666666674</v>
      </c>
      <c r="R12" s="79">
        <v>0.65</v>
      </c>
      <c r="S12" s="79">
        <v>0.42857142857142849</v>
      </c>
      <c r="T12" s="79">
        <v>0.66270783847981019</v>
      </c>
    </row>
    <row r="13" spans="1:20" x14ac:dyDescent="0.3">
      <c r="A13" s="79" t="s">
        <v>253</v>
      </c>
      <c r="B13" s="79">
        <v>0.2269736842105263</v>
      </c>
      <c r="C13" s="79">
        <v>-8.1566068515497268E-3</v>
      </c>
      <c r="D13" s="79">
        <v>3.2733224222585224E-3</v>
      </c>
      <c r="E13" s="79">
        <v>8.9126559714795009E-2</v>
      </c>
      <c r="F13" s="79">
        <v>0.71036585365853677</v>
      </c>
      <c r="G13" s="79">
        <v>0.10437710437710424</v>
      </c>
      <c r="H13" s="79">
        <v>-3.3557046979865056E-3</v>
      </c>
      <c r="I13" s="79">
        <v>0.29565217391304355</v>
      </c>
      <c r="J13" s="79">
        <v>0.10576923076923064</v>
      </c>
      <c r="K13" s="79">
        <v>-9.5652173913043384E-2</v>
      </c>
      <c r="L13" s="79">
        <v>0.42857142857142838</v>
      </c>
      <c r="M13" s="79">
        <v>0.13380281690140858</v>
      </c>
      <c r="N13" s="79">
        <v>-0.10126582278481021</v>
      </c>
      <c r="O13" s="79">
        <v>0.59595959595959602</v>
      </c>
      <c r="P13" s="79">
        <v>0.83333333333333315</v>
      </c>
      <c r="Q13" s="79">
        <v>0.68750000000000011</v>
      </c>
      <c r="R13" s="79">
        <v>0.68421052631578949</v>
      </c>
      <c r="S13" s="79">
        <v>0.35714285714285704</v>
      </c>
      <c r="T13" s="79">
        <v>0.73053152039555025</v>
      </c>
    </row>
    <row r="14" spans="1:20" x14ac:dyDescent="0.3">
      <c r="A14" s="79" t="s">
        <v>130</v>
      </c>
      <c r="B14" s="79">
        <v>-2.5761769441082424E-2</v>
      </c>
      <c r="C14" s="79">
        <v>-2.5434586166831519E-2</v>
      </c>
      <c r="D14" s="79">
        <v>-2.9090594249629207E-2</v>
      </c>
      <c r="E14" s="79">
        <v>-2.9058205865996313E-2</v>
      </c>
      <c r="F14" s="79">
        <v>-3.7508214414619906E-2</v>
      </c>
      <c r="G14" s="79">
        <v>-6.0592097940289753E-2</v>
      </c>
      <c r="H14" s="79">
        <v>-6.8116512628605255E-2</v>
      </c>
      <c r="I14" s="79">
        <v>-5.0192228000924627E-2</v>
      </c>
      <c r="J14" s="79">
        <v>-4.6351004054236845E-2</v>
      </c>
      <c r="K14" s="79">
        <v>-4.9118776463603131E-2</v>
      </c>
      <c r="L14" s="79">
        <v>-5.4580078914521102E-2</v>
      </c>
      <c r="M14" s="79">
        <v>-6.0479516441761305E-2</v>
      </c>
      <c r="N14" s="79">
        <v>-1.0149489310343479E-2</v>
      </c>
      <c r="O14" s="79">
        <v>1.1425381198545984E-2</v>
      </c>
      <c r="P14" s="79">
        <v>1.6270076479317049E-2</v>
      </c>
      <c r="Q14" s="79">
        <v>1.8415123563145661E-2</v>
      </c>
      <c r="R14" s="79">
        <v>1.2959388243087505E-2</v>
      </c>
      <c r="S14" s="79">
        <v>1.9657895815863337E-2</v>
      </c>
      <c r="T14" s="79">
        <v>2.4332290638117964E-2</v>
      </c>
    </row>
    <row r="15" spans="1:20" x14ac:dyDescent="0.3">
      <c r="A15" s="79" t="s">
        <v>254</v>
      </c>
      <c r="B15" s="79">
        <v>-2.618091334457634E-2</v>
      </c>
      <c r="C15" s="79">
        <v>-2.5577916068802831E-2</v>
      </c>
      <c r="D15" s="79">
        <v>-3.1439280320331865E-2</v>
      </c>
      <c r="E15" s="79">
        <v>-3.1965762776565959E-2</v>
      </c>
      <c r="F15" s="79">
        <v>-3.7841562180835994E-2</v>
      </c>
      <c r="G15" s="79">
        <v>-5.7402558404513054E-2</v>
      </c>
      <c r="H15" s="79">
        <v>-7.0237668818819751E-2</v>
      </c>
      <c r="I15" s="79">
        <v>-4.7905132288793784E-2</v>
      </c>
      <c r="J15" s="79">
        <v>-4.519569091106436E-2</v>
      </c>
      <c r="K15" s="79">
        <v>-5.0541086253245042E-2</v>
      </c>
      <c r="L15" s="79">
        <v>-5.3831804886207195E-2</v>
      </c>
      <c r="M15" s="79">
        <v>-6.1176539499150057E-2</v>
      </c>
      <c r="N15" s="79">
        <v>-1.4484207968497993E-2</v>
      </c>
      <c r="O15" s="79">
        <v>9.2988424490754607E-3</v>
      </c>
      <c r="P15" s="79">
        <v>1.2903545525305747E-2</v>
      </c>
      <c r="Q15" s="79">
        <v>1.9522494332080937E-2</v>
      </c>
      <c r="R15" s="79">
        <v>5.394852677913271E-3</v>
      </c>
      <c r="S15" s="79">
        <v>1.4446323592250914E-2</v>
      </c>
      <c r="T15" s="79">
        <v>1.3408149730036489E-2</v>
      </c>
    </row>
    <row r="16" spans="1:20" x14ac:dyDescent="0.3">
      <c r="A16" s="79" t="s">
        <v>255</v>
      </c>
      <c r="B16" s="79">
        <v>3.9042753816241157E-2</v>
      </c>
      <c r="C16" s="79">
        <v>4.0371570095532654E-2</v>
      </c>
      <c r="D16" s="79">
        <v>4.2731773310903005E-2</v>
      </c>
      <c r="E16" s="79">
        <v>5.6553487647927073E-2</v>
      </c>
      <c r="F16" s="79">
        <v>6.7451007042889255E-2</v>
      </c>
      <c r="G16" s="79">
        <v>6.1635301420547052E-2</v>
      </c>
      <c r="H16" s="79">
        <v>0.10494717879684691</v>
      </c>
      <c r="I16" s="79">
        <v>0.13059796297728576</v>
      </c>
      <c r="J16" s="79">
        <v>0.1020265386169228</v>
      </c>
      <c r="K16" s="79">
        <v>0.10523493774751208</v>
      </c>
      <c r="L16" s="79">
        <v>9.9085798838078831E-2</v>
      </c>
      <c r="M16" s="79">
        <v>0.12099689581847323</v>
      </c>
      <c r="N16" s="79">
        <v>3.2895171155058609</v>
      </c>
      <c r="O16" s="79">
        <v>0</v>
      </c>
      <c r="P16" s="79">
        <v>0</v>
      </c>
      <c r="Q16" s="79">
        <v>0</v>
      </c>
      <c r="R16" s="79">
        <v>0</v>
      </c>
      <c r="S16" s="79">
        <v>0</v>
      </c>
      <c r="T16" s="79">
        <v>0</v>
      </c>
    </row>
    <row r="17" spans="1:20" x14ac:dyDescent="0.3">
      <c r="A17" s="79" t="s">
        <v>256</v>
      </c>
      <c r="B17" s="79">
        <v>-5.7266561807634411E-2</v>
      </c>
      <c r="C17" s="79">
        <v>6.9755660693123944E-2</v>
      </c>
      <c r="D17" s="79">
        <v>-9.5029921981809401E-2</v>
      </c>
      <c r="E17" s="79">
        <v>0.17409984813241317</v>
      </c>
      <c r="F17" s="79">
        <v>0.28961003545132263</v>
      </c>
      <c r="G17" s="79">
        <v>0.16260033721952413</v>
      </c>
      <c r="H17" s="79">
        <v>-0.10386910142831314</v>
      </c>
      <c r="I17" s="79">
        <v>0.20566757493188012</v>
      </c>
      <c r="J17" s="79">
        <v>-3.0287931633223113E-2</v>
      </c>
      <c r="K17" s="79">
        <v>-0.18500972116260184</v>
      </c>
      <c r="L17" s="79">
        <v>0.36094317820240146</v>
      </c>
      <c r="M17" s="79">
        <v>0.11267841836544554</v>
      </c>
      <c r="N17" s="79">
        <v>5.5254050652823662E-2</v>
      </c>
      <c r="O17" s="79">
        <v>0.35511204668389779</v>
      </c>
      <c r="P17" s="79">
        <v>1.0182307071793493</v>
      </c>
      <c r="Q17" s="79">
        <v>0.83039669258785309</v>
      </c>
      <c r="R17" s="79">
        <v>5.8670279283034595E-2</v>
      </c>
      <c r="S17" s="79">
        <v>0.75429616087751372</v>
      </c>
      <c r="T17" s="79">
        <v>1.4639639639639639</v>
      </c>
    </row>
    <row r="18" spans="1:20" x14ac:dyDescent="0.3">
      <c r="A18" s="79" t="s">
        <v>257</v>
      </c>
      <c r="B18" s="79">
        <v>-9.2273475052156564E-2</v>
      </c>
      <c r="C18" s="79">
        <v>9.2615279562982003E-2</v>
      </c>
      <c r="D18" s="79">
        <v>-0.10641314393905404</v>
      </c>
      <c r="E18" s="79">
        <v>0.19891773261755941</v>
      </c>
      <c r="F18" s="79">
        <v>0.26699379813262453</v>
      </c>
      <c r="G18" s="79">
        <v>0.24567033414832926</v>
      </c>
      <c r="H18" s="79">
        <v>-8.1486564464060135E-2</v>
      </c>
      <c r="I18" s="79">
        <v>0.24676258992805755</v>
      </c>
      <c r="J18" s="79">
        <v>-2.3783763263291763E-2</v>
      </c>
      <c r="K18" s="79">
        <v>-0.24499125798962423</v>
      </c>
      <c r="L18" s="79">
        <v>0.39835671342685369</v>
      </c>
      <c r="M18" s="79">
        <v>0.11908499663601704</v>
      </c>
      <c r="N18" s="79">
        <v>7.5650118203309691E-2</v>
      </c>
      <c r="O18" s="79">
        <v>0.37826245968680389</v>
      </c>
      <c r="P18" s="79">
        <v>0.82572538545586982</v>
      </c>
      <c r="Q18" s="79">
        <v>0.84149340487368651</v>
      </c>
      <c r="R18" s="79">
        <v>6.5380493033226156E-2</v>
      </c>
      <c r="S18" s="79">
        <v>0.87265834076717219</v>
      </c>
      <c r="T18" s="79">
        <v>1.8688419705694177</v>
      </c>
    </row>
    <row r="19" spans="1:20" x14ac:dyDescent="0.3">
      <c r="A19" s="79" t="s">
        <v>258</v>
      </c>
      <c r="B19" s="79">
        <v>1.7413426413189617</v>
      </c>
      <c r="C19" s="79">
        <v>2.3937532854122625</v>
      </c>
      <c r="D19" s="79">
        <v>2.6905240454238135</v>
      </c>
      <c r="E19" s="79">
        <v>3.066903442902376</v>
      </c>
      <c r="F19" s="79">
        <v>4.2365122723132629</v>
      </c>
      <c r="G19" s="79">
        <v>5.1764939546899438</v>
      </c>
      <c r="H19" s="79">
        <v>7.2669080901796983</v>
      </c>
      <c r="I19" s="79">
        <v>9.1837147358628197</v>
      </c>
      <c r="J19" s="79">
        <v>10.077185870570869</v>
      </c>
      <c r="K19" s="79">
        <v>11.057312061586249</v>
      </c>
      <c r="L19" s="79">
        <v>15.501516983397861</v>
      </c>
      <c r="M19" s="79">
        <v>17.874589396645661</v>
      </c>
      <c r="N19" s="79">
        <v>20.462567234160868</v>
      </c>
      <c r="O19" s="79">
        <v>19.702896690741465</v>
      </c>
      <c r="P19" s="79">
        <v>14.095326431263693</v>
      </c>
      <c r="Q19" s="79">
        <v>4.8317532373410179</v>
      </c>
      <c r="R19" s="79">
        <v>3.4535805963523769</v>
      </c>
      <c r="S19" s="79">
        <v>2.2735865493103375</v>
      </c>
      <c r="T19" s="79">
        <v>0.97722565899229175</v>
      </c>
    </row>
    <row r="20" spans="1:20" x14ac:dyDescent="0.3">
      <c r="A20" s="79" t="s">
        <v>259</v>
      </c>
      <c r="B20" s="79">
        <v>0.75974686411665504</v>
      </c>
      <c r="C20" s="79">
        <v>0.80932922288584641</v>
      </c>
      <c r="D20" s="79">
        <v>0.81684202699800501</v>
      </c>
      <c r="E20" s="79">
        <v>1.213791990178702</v>
      </c>
      <c r="F20" s="79">
        <v>1.2227951619611697</v>
      </c>
      <c r="G20" s="79">
        <v>0.55780510095981384</v>
      </c>
      <c r="H20" s="79">
        <v>0.87569693922219904</v>
      </c>
      <c r="I20" s="79">
        <v>1.0312850487731844</v>
      </c>
      <c r="J20" s="79">
        <v>0.83707568775424412</v>
      </c>
      <c r="K20" s="79">
        <v>1.355823137428954</v>
      </c>
      <c r="L20" s="79">
        <v>2.9648695147322393</v>
      </c>
      <c r="M20" s="79">
        <v>3.4073794211168047</v>
      </c>
      <c r="N20" s="79">
        <v>4.0134345950182517</v>
      </c>
      <c r="O20" s="79">
        <v>5.0297928628690913</v>
      </c>
      <c r="P20" s="79">
        <v>4.1180888200058563</v>
      </c>
      <c r="Q20" s="79">
        <v>3.1619319178306582</v>
      </c>
      <c r="R20" s="79">
        <v>3.2824970562355054</v>
      </c>
      <c r="S20" s="79">
        <v>3.2810107177797407</v>
      </c>
      <c r="T20" s="79">
        <v>2.4334341430247122</v>
      </c>
    </row>
    <row r="21" spans="1:20" x14ac:dyDescent="0.3">
      <c r="A21" s="79" t="s">
        <v>260</v>
      </c>
      <c r="B21" s="79">
        <v>0.1448507983899727</v>
      </c>
      <c r="C21" s="79">
        <v>0.16350659288355199</v>
      </c>
      <c r="D21" s="79">
        <v>0.53881640471636549</v>
      </c>
      <c r="E21" s="79">
        <v>0.7264312385752475</v>
      </c>
      <c r="F21" s="79">
        <v>0.6346739129208202</v>
      </c>
      <c r="G21" s="79">
        <v>0.44024210476297349</v>
      </c>
      <c r="H21" s="79">
        <v>0.42938984948603443</v>
      </c>
      <c r="I21" s="79">
        <v>0.3194190849210401</v>
      </c>
      <c r="J21" s="79">
        <v>0.4627669647100775</v>
      </c>
      <c r="K21" s="79">
        <v>0.49383476073699789</v>
      </c>
      <c r="L21" s="79">
        <v>0.69843695691449226</v>
      </c>
      <c r="M21" s="79">
        <v>0.79527385763163627</v>
      </c>
      <c r="N21" s="79">
        <v>1.5753768581710637</v>
      </c>
      <c r="O21" s="79">
        <v>2.5093649440398749</v>
      </c>
      <c r="P21" s="79">
        <v>2.1790344316310271</v>
      </c>
      <c r="Q21" s="79">
        <v>1.5829911937285346</v>
      </c>
      <c r="R21" s="79">
        <v>1.0847696968338119</v>
      </c>
      <c r="S21" s="79">
        <v>1.137964092942469</v>
      </c>
      <c r="T21" s="79">
        <v>1.4924313958864301</v>
      </c>
    </row>
    <row r="22" spans="1:20" x14ac:dyDescent="0.3">
      <c r="A22" s="79" t="s">
        <v>261</v>
      </c>
      <c r="B22" s="79">
        <v>1.1119537209402253</v>
      </c>
      <c r="C22" s="79">
        <v>2.1417809176982403</v>
      </c>
      <c r="D22" s="79">
        <v>2.3897347101295439</v>
      </c>
      <c r="E22" s="79">
        <v>2.8770161967679373</v>
      </c>
      <c r="F22" s="79">
        <v>3.2956326768383648</v>
      </c>
      <c r="G22" s="79">
        <v>5.3668913164123762</v>
      </c>
      <c r="H22" s="79">
        <v>8.2463767114006572</v>
      </c>
      <c r="I22" s="79">
        <v>9.0491755872437487</v>
      </c>
      <c r="J22" s="79">
        <v>12.62031020318792</v>
      </c>
      <c r="K22" s="79">
        <v>31.22005240728279</v>
      </c>
      <c r="L22" s="79">
        <v>30.531925840418715</v>
      </c>
      <c r="M22" s="79">
        <v>53.652885659280209</v>
      </c>
      <c r="N22" s="79">
        <v>143.74291790597971</v>
      </c>
      <c r="O22" s="79">
        <v>433.02021047473221</v>
      </c>
      <c r="P22" s="79">
        <v>150.71260892948237</v>
      </c>
      <c r="Q22" s="79">
        <v>14.290709523966628</v>
      </c>
      <c r="R22" s="79">
        <v>6.9248682056922206</v>
      </c>
      <c r="S22" s="79">
        <v>6.4142848553452714</v>
      </c>
      <c r="T22" s="79">
        <v>19.715605691527482</v>
      </c>
    </row>
    <row r="23" spans="1:20" x14ac:dyDescent="0.3">
      <c r="A23" s="79" t="s">
        <v>262</v>
      </c>
      <c r="B23" s="79">
        <v>0.60408014128125775</v>
      </c>
      <c r="C23" s="79">
        <v>1.051533221923415</v>
      </c>
      <c r="D23" s="79">
        <v>0.79727606810740914</v>
      </c>
      <c r="E23" s="79">
        <v>1.4476602904429168</v>
      </c>
      <c r="F23" s="79">
        <v>1.0582283252332088</v>
      </c>
      <c r="G23" s="79">
        <v>0.31661359466323419</v>
      </c>
      <c r="H23" s="79">
        <v>0.53143068029513252</v>
      </c>
      <c r="I23" s="79">
        <v>0.88604008603922846</v>
      </c>
      <c r="J23" s="79">
        <v>0.5839682540530865</v>
      </c>
      <c r="K23" s="79">
        <v>1.0870535227677647</v>
      </c>
      <c r="L23" s="79">
        <v>3.8358085790849756</v>
      </c>
      <c r="M23" s="79">
        <v>5.0377376726047602</v>
      </c>
      <c r="N23" s="79">
        <v>4.3281876995241833</v>
      </c>
      <c r="O23" s="79">
        <v>7.5988530188884935</v>
      </c>
      <c r="P23" s="79">
        <v>14.438057556163617</v>
      </c>
      <c r="Q23" s="79">
        <v>5.5205074445657942</v>
      </c>
      <c r="R23" s="79">
        <v>8.0518814534223093</v>
      </c>
      <c r="S23" s="79">
        <v>26.165506560308586</v>
      </c>
      <c r="T23" s="79">
        <v>49.474198072853511</v>
      </c>
    </row>
    <row r="24" spans="1:20" x14ac:dyDescent="0.3">
      <c r="A24" s="79" t="s">
        <v>263</v>
      </c>
      <c r="B24" s="79">
        <v>-9.9597442833233105E-3</v>
      </c>
      <c r="C24" s="79">
        <v>0.23720294833900227</v>
      </c>
      <c r="D24" s="79">
        <v>0.51018001979494809</v>
      </c>
      <c r="E24" s="79">
        <v>1.0051619005026309</v>
      </c>
      <c r="F24" s="79">
        <v>0.59458415276795806</v>
      </c>
      <c r="G24" s="79">
        <v>0.51069897163745548</v>
      </c>
      <c r="H24" s="79">
        <v>0.24124051471413757</v>
      </c>
      <c r="I24" s="79">
        <v>0.10629834766819707</v>
      </c>
      <c r="J24" s="79">
        <v>0.25457215830917196</v>
      </c>
      <c r="K24" s="79">
        <v>0.46118367715229508</v>
      </c>
      <c r="L24" s="79">
        <v>0.81746506507585759</v>
      </c>
      <c r="M24" s="79">
        <v>0.69157861480023008</v>
      </c>
      <c r="N24" s="79">
        <v>1.8365500183595391</v>
      </c>
      <c r="O24" s="79">
        <v>3.7821523972099018</v>
      </c>
      <c r="P24" s="79">
        <v>2.7303599598268162</v>
      </c>
      <c r="Q24" s="79">
        <v>2.2317480532922662</v>
      </c>
      <c r="R24" s="79">
        <v>3.325243896327688</v>
      </c>
      <c r="S24" s="79">
        <v>2.4713014170368508</v>
      </c>
      <c r="T24" s="79">
        <v>4.0340989079190921</v>
      </c>
    </row>
    <row r="25" spans="1:20" x14ac:dyDescent="0.3">
      <c r="A25" s="79" t="s">
        <v>264</v>
      </c>
      <c r="B25" s="79">
        <v>2.2296307380063842</v>
      </c>
      <c r="C25" s="79">
        <v>2.7638155809354301</v>
      </c>
      <c r="D25" s="79">
        <v>3.3097019469393576</v>
      </c>
      <c r="E25" s="79">
        <v>2.8601730801298997</v>
      </c>
      <c r="F25" s="79">
        <v>4.6596800145648611</v>
      </c>
      <c r="G25" s="79">
        <v>5.0124851669880481</v>
      </c>
      <c r="H25" s="79">
        <v>8.0831238707283468</v>
      </c>
      <c r="I25" s="79">
        <v>14.33647360787595</v>
      </c>
      <c r="J25" s="79">
        <v>15.048279988171211</v>
      </c>
      <c r="K25" s="79">
        <v>23.807086605203267</v>
      </c>
      <c r="L25" s="79">
        <v>38.547037748299658</v>
      </c>
      <c r="M25" s="79">
        <v>125.97448966603805</v>
      </c>
      <c r="N25" s="79">
        <v>417.3913052092492</v>
      </c>
      <c r="O25" s="79">
        <v>486.66772077208589</v>
      </c>
      <c r="P25" s="79">
        <v>776.45198220465022</v>
      </c>
      <c r="Q25" s="79">
        <v>11.725057592399864</v>
      </c>
      <c r="R25" s="79">
        <v>7.7862192654146174</v>
      </c>
      <c r="S25" s="79">
        <v>8.3676120672660126</v>
      </c>
      <c r="T25" s="79">
        <v>2.950571704967651</v>
      </c>
    </row>
    <row r="26" spans="1:20" x14ac:dyDescent="0.3">
      <c r="A26" s="79" t="s">
        <v>265</v>
      </c>
      <c r="B26" s="79">
        <v>1.2647308040734611</v>
      </c>
      <c r="C26" s="79">
        <v>1.0421744314966246</v>
      </c>
      <c r="D26" s="79">
        <v>1.051263292954884</v>
      </c>
      <c r="E26" s="79">
        <v>1.6564176904593655</v>
      </c>
      <c r="F26" s="79">
        <v>1.7153666269839061</v>
      </c>
      <c r="G26" s="79">
        <v>0.42605502260904682</v>
      </c>
      <c r="H26" s="79">
        <v>0.84304314209687081</v>
      </c>
      <c r="I26" s="79">
        <v>1.1009989121051105</v>
      </c>
      <c r="J26" s="79">
        <v>0.45314989204968464</v>
      </c>
      <c r="K26" s="79">
        <v>1.0843152295980565</v>
      </c>
      <c r="L26" s="79">
        <v>3.2161663271504586</v>
      </c>
      <c r="M26" s="79">
        <v>3.9283294911882942</v>
      </c>
      <c r="N26" s="79">
        <v>6.2996104469704202</v>
      </c>
      <c r="O26" s="79">
        <v>10.043788446032176</v>
      </c>
      <c r="P26" s="79">
        <v>10.901792134382243</v>
      </c>
      <c r="Q26" s="79">
        <v>8.3798571212981425</v>
      </c>
      <c r="R26" s="79">
        <v>24.764204664697164</v>
      </c>
      <c r="S26" s="79">
        <v>56.316936054155519</v>
      </c>
      <c r="T26" s="79">
        <v>43.157647817610595</v>
      </c>
    </row>
    <row r="27" spans="1:20" x14ac:dyDescent="0.3">
      <c r="A27" s="79" t="s">
        <v>266</v>
      </c>
      <c r="B27" s="79">
        <v>0.21747017302582256</v>
      </c>
      <c r="C27" s="79">
        <v>7.7619071627868838E-2</v>
      </c>
      <c r="D27" s="79">
        <v>0.86202411002835566</v>
      </c>
      <c r="E27" s="79">
        <v>1.0574046479668893</v>
      </c>
      <c r="F27" s="79">
        <v>0.88756629735791692</v>
      </c>
      <c r="G27" s="79">
        <v>0.4280325500122949</v>
      </c>
      <c r="H27" s="79">
        <v>0.43285060206892073</v>
      </c>
      <c r="I27" s="79">
        <v>0.29449439447629178</v>
      </c>
      <c r="J27" s="79">
        <v>0.42744325960947943</v>
      </c>
      <c r="K27" s="79">
        <v>0.46049328951215684</v>
      </c>
      <c r="L27" s="79">
        <v>0.45516499222954854</v>
      </c>
      <c r="M27" s="79">
        <v>0.62042453777461515</v>
      </c>
      <c r="N27" s="79">
        <v>1.5977184686913899</v>
      </c>
      <c r="O27" s="79">
        <v>3.84114594909994</v>
      </c>
      <c r="P27" s="79">
        <v>4.1148846980833254</v>
      </c>
      <c r="Q27" s="79">
        <v>2.8116461926009055</v>
      </c>
      <c r="R27" s="79">
        <v>2.913284623629286</v>
      </c>
      <c r="S27" s="79">
        <v>2.3380175907599878</v>
      </c>
      <c r="T27" s="79">
        <v>10.293975401085573</v>
      </c>
    </row>
    <row r="28" spans="1:20" x14ac:dyDescent="0.3">
      <c r="A28" s="79" t="s">
        <v>267</v>
      </c>
      <c r="B28" s="79">
        <v>-4.893583739091923E-2</v>
      </c>
      <c r="C28" s="79">
        <v>-0.19003774225234785</v>
      </c>
      <c r="D28" s="79">
        <v>-0.17223390044906281</v>
      </c>
      <c r="E28" s="79">
        <v>-0.30807883434842481</v>
      </c>
      <c r="F28" s="79">
        <v>0.27599465851333094</v>
      </c>
      <c r="G28" s="79">
        <v>1.006394800982171</v>
      </c>
      <c r="H28" s="79">
        <v>2.871452293347537</v>
      </c>
      <c r="I28" s="79">
        <v>4.9844268349354426</v>
      </c>
      <c r="J28" s="79">
        <v>9.7004470377909033</v>
      </c>
      <c r="K28" s="79">
        <v>12.87290204198254</v>
      </c>
      <c r="L28" s="79">
        <v>14.804774302962583</v>
      </c>
      <c r="M28" s="79">
        <v>17.785699204911602</v>
      </c>
      <c r="N28" s="79">
        <v>21.804160712111287</v>
      </c>
      <c r="O28" s="79">
        <v>20.925932495455147</v>
      </c>
      <c r="P28" s="79">
        <v>13.616862168286959</v>
      </c>
      <c r="Q28" s="79">
        <v>7.3056302971917404</v>
      </c>
      <c r="R28" s="79">
        <v>5.5362351460711459</v>
      </c>
      <c r="S28" s="79">
        <v>7.1311881752531869</v>
      </c>
      <c r="T28" s="79">
        <v>6.0627717876338707</v>
      </c>
    </row>
    <row r="29" spans="1:20" x14ac:dyDescent="0.3">
      <c r="A29" s="79" t="s">
        <v>268</v>
      </c>
      <c r="B29" s="79">
        <v>0.30991864184758822</v>
      </c>
      <c r="C29" s="79">
        <v>-0.24235004889283715</v>
      </c>
      <c r="D29" s="79">
        <v>-0.26978894458196756</v>
      </c>
      <c r="E29" s="79">
        <v>-0.51351531192009969</v>
      </c>
      <c r="F29" s="79">
        <v>-0.35543100969786007</v>
      </c>
      <c r="G29" s="79">
        <v>-0.27395173087418428</v>
      </c>
      <c r="H29" s="79">
        <v>6.9045482764230004E-2</v>
      </c>
      <c r="I29" s="79">
        <v>0.13359842118119711</v>
      </c>
      <c r="J29" s="79">
        <v>0.42228765386739969</v>
      </c>
      <c r="K29" s="79">
        <v>0.97960913061488109</v>
      </c>
      <c r="L29" s="79">
        <v>1.7634454709160474</v>
      </c>
      <c r="M29" s="79">
        <v>2.6214102727763517</v>
      </c>
      <c r="N29" s="79">
        <v>4.2791418222863564</v>
      </c>
      <c r="O29" s="79">
        <v>6.5234056969382284</v>
      </c>
      <c r="P29" s="79">
        <v>6.0078996037331436</v>
      </c>
      <c r="Q29" s="79">
        <v>4.7192278513545274</v>
      </c>
      <c r="R29" s="79">
        <v>4.1873987728293356</v>
      </c>
      <c r="S29" s="79">
        <v>3.3196719239179249</v>
      </c>
      <c r="T29" s="79">
        <v>1.9143626408952343</v>
      </c>
    </row>
    <row r="30" spans="1:20" x14ac:dyDescent="0.3">
      <c r="A30" s="79" t="s">
        <v>269</v>
      </c>
      <c r="B30" s="79">
        <v>0.57847965083102559</v>
      </c>
      <c r="C30" s="79">
        <v>-1.7459858915902907E-2</v>
      </c>
      <c r="D30" s="79">
        <v>4.8266631608940624E-2</v>
      </c>
      <c r="E30" s="79">
        <v>-0.3621293491290547</v>
      </c>
      <c r="F30" s="79">
        <v>-0.30117625276916987</v>
      </c>
      <c r="G30" s="79">
        <v>-0.41377566816523792</v>
      </c>
      <c r="H30" s="79">
        <v>-0.16410618684205286</v>
      </c>
      <c r="I30" s="79">
        <v>4.2290674476722558E-2</v>
      </c>
      <c r="J30" s="79">
        <v>0.40171469855072989</v>
      </c>
      <c r="K30" s="79">
        <v>0.22901583610694989</v>
      </c>
      <c r="L30" s="79">
        <v>0.14838043835452411</v>
      </c>
      <c r="M30" s="79">
        <v>0.54786961960991032</v>
      </c>
      <c r="N30" s="79">
        <v>1.5408587291075055</v>
      </c>
      <c r="O30" s="79">
        <v>2.5690276822908249</v>
      </c>
      <c r="P30" s="79">
        <v>2.2774898843940812</v>
      </c>
      <c r="Q30" s="79">
        <v>2.1264347435467528</v>
      </c>
      <c r="R30" s="79">
        <v>1.9953289124512188</v>
      </c>
      <c r="S30" s="79">
        <v>1.7526727826333182</v>
      </c>
      <c r="T30" s="79">
        <v>1.4608495892816085</v>
      </c>
    </row>
    <row r="31" spans="1:20" x14ac:dyDescent="0.3">
      <c r="A31" s="79" t="s">
        <v>270</v>
      </c>
      <c r="B31" s="79">
        <v>1.0535518165116085</v>
      </c>
      <c r="C31" s="79">
        <v>1.1722201809466772</v>
      </c>
      <c r="D31" s="79">
        <v>1.3405599978590987</v>
      </c>
      <c r="E31" s="79">
        <v>8.6284321890433624</v>
      </c>
      <c r="F31" s="79">
        <v>0</v>
      </c>
      <c r="G31" s="79">
        <v>0</v>
      </c>
      <c r="H31" s="79">
        <v>0</v>
      </c>
      <c r="I31" s="79">
        <v>0</v>
      </c>
      <c r="J31" s="79">
        <v>0</v>
      </c>
      <c r="K31" s="79">
        <v>0</v>
      </c>
      <c r="L31" s="79">
        <v>0</v>
      </c>
      <c r="M31" s="79">
        <v>0</v>
      </c>
      <c r="N31" s="79">
        <v>0</v>
      </c>
      <c r="O31" s="79">
        <v>0</v>
      </c>
      <c r="P31" s="79">
        <v>0</v>
      </c>
      <c r="Q31" s="79">
        <v>0</v>
      </c>
      <c r="R31" s="79">
        <v>0</v>
      </c>
      <c r="S31" s="79">
        <v>0</v>
      </c>
      <c r="T31" s="79">
        <v>0</v>
      </c>
    </row>
    <row r="32" spans="1:20" x14ac:dyDescent="0.3">
      <c r="A32" s="79" t="s">
        <v>271</v>
      </c>
      <c r="B32" s="79">
        <v>0.27125870644623568</v>
      </c>
      <c r="C32" s="79">
        <v>0.29890046876764864</v>
      </c>
      <c r="D32" s="79">
        <v>0.3795229029287352</v>
      </c>
      <c r="E32" s="79">
        <v>0.49576892529072369</v>
      </c>
      <c r="F32" s="79">
        <v>0.56014538835934047</v>
      </c>
      <c r="G32" s="79">
        <v>0.6153689300994043</v>
      </c>
      <c r="H32" s="79">
        <v>0.67235306567223252</v>
      </c>
      <c r="I32" s="79">
        <v>0.69664453768043744</v>
      </c>
      <c r="J32" s="79">
        <v>5.4371120607228427</v>
      </c>
      <c r="K32" s="79">
        <v>0</v>
      </c>
      <c r="L32" s="79">
        <v>0</v>
      </c>
      <c r="M32" s="79">
        <v>0</v>
      </c>
      <c r="N32" s="79">
        <v>0</v>
      </c>
      <c r="O32" s="79">
        <v>0</v>
      </c>
      <c r="P32" s="79">
        <v>0</v>
      </c>
      <c r="Q32" s="79">
        <v>0</v>
      </c>
      <c r="R32" s="79">
        <v>0</v>
      </c>
      <c r="S32" s="79">
        <v>0</v>
      </c>
      <c r="T32" s="79">
        <v>0</v>
      </c>
    </row>
    <row r="33" spans="1:20" x14ac:dyDescent="0.3">
      <c r="A33" s="79" t="s">
        <v>272</v>
      </c>
      <c r="B33" s="79">
        <v>0.12718318394130193</v>
      </c>
      <c r="C33" s="79">
        <v>0.14617932692103452</v>
      </c>
      <c r="D33" s="79">
        <v>0.17601279383408341</v>
      </c>
      <c r="E33" s="79">
        <v>0.19733255359833798</v>
      </c>
      <c r="F33" s="79">
        <v>0.25217439783887663</v>
      </c>
      <c r="G33" s="79">
        <v>0.32624899330116186</v>
      </c>
      <c r="H33" s="79">
        <v>0.3767077879533392</v>
      </c>
      <c r="I33" s="79">
        <v>0.3770663209185669</v>
      </c>
      <c r="J33" s="79">
        <v>0.33868456068517128</v>
      </c>
      <c r="K33" s="79">
        <v>0.36172876461901687</v>
      </c>
      <c r="L33" s="79">
        <v>4.2849929395231632</v>
      </c>
      <c r="M33" s="79">
        <v>0</v>
      </c>
      <c r="N33" s="79">
        <v>0</v>
      </c>
      <c r="O33" s="79">
        <v>0</v>
      </c>
      <c r="P33" s="79">
        <v>0</v>
      </c>
      <c r="Q33" s="79">
        <v>0</v>
      </c>
      <c r="R33" s="79">
        <v>0</v>
      </c>
      <c r="S33" s="79">
        <v>0</v>
      </c>
      <c r="T33" s="79">
        <v>0</v>
      </c>
    </row>
    <row r="34" spans="1:20" x14ac:dyDescent="0.3">
      <c r="A34" s="79" t="s">
        <v>273</v>
      </c>
      <c r="B34" s="79">
        <v>0.10135410533943209</v>
      </c>
      <c r="C34" s="79">
        <v>8.621792243994425E-2</v>
      </c>
      <c r="D34" s="79">
        <v>8.6982209676360529E-4</v>
      </c>
      <c r="E34" s="79">
        <v>0.18300780491593213</v>
      </c>
      <c r="F34" s="79">
        <v>0.37551074909867804</v>
      </c>
      <c r="G34" s="79">
        <v>-0.18249497860448868</v>
      </c>
      <c r="H34" s="79">
        <v>-6.5129094805592411E-2</v>
      </c>
      <c r="I34" s="79">
        <v>0.37344770554761303</v>
      </c>
      <c r="J34" s="79">
        <v>0.21755008703368717</v>
      </c>
      <c r="K34" s="79">
        <v>-3.4406617671291564E-2</v>
      </c>
      <c r="L34" s="79">
        <v>0.1147727690216393</v>
      </c>
      <c r="M34" s="79">
        <v>0.31868611016908094</v>
      </c>
      <c r="N34" s="79">
        <v>0.1042692060774663</v>
      </c>
      <c r="O34" s="79">
        <v>0.595288896475207</v>
      </c>
      <c r="P34" s="79">
        <v>0.18067311567916164</v>
      </c>
      <c r="Q34" s="79">
        <v>0.96242831718410127</v>
      </c>
      <c r="R34" s="79">
        <v>7.5042517006802714E-2</v>
      </c>
      <c r="S34" s="79">
        <v>0.16753536857781087</v>
      </c>
      <c r="T34" s="79">
        <v>0.41616871704745168</v>
      </c>
    </row>
    <row r="35" spans="1:20" x14ac:dyDescent="0.3">
      <c r="A35" s="79" t="s">
        <v>274</v>
      </c>
      <c r="B35" s="79">
        <v>-1.5724149268453065E-2</v>
      </c>
      <c r="C35" s="79">
        <v>3.5160515396374756E-2</v>
      </c>
      <c r="D35" s="79">
        <v>-4.8759053734178114E-4</v>
      </c>
      <c r="E35" s="79">
        <v>4.9942735369029236E-3</v>
      </c>
      <c r="F35" s="79">
        <v>8.3714123400681711E-2</v>
      </c>
      <c r="G35" s="79">
        <v>-4.3212137683300053E-2</v>
      </c>
      <c r="H35" s="79">
        <v>-7.4397429762799921E-2</v>
      </c>
      <c r="I35" s="79">
        <v>-2.5562255041711186E-2</v>
      </c>
      <c r="J35" s="79">
        <v>0.16672469426708031</v>
      </c>
      <c r="K35" s="79">
        <v>0.10794399765795863</v>
      </c>
      <c r="L35" s="79">
        <v>0.25235616095652585</v>
      </c>
      <c r="M35" s="79">
        <v>0.11999516908212561</v>
      </c>
      <c r="N35" s="79">
        <v>0.17570883315158126</v>
      </c>
      <c r="O35" s="79">
        <v>0.51295425836333797</v>
      </c>
      <c r="P35" s="79">
        <v>0.54783661200005318</v>
      </c>
      <c r="Q35" s="79">
        <v>0.5827666785962401</v>
      </c>
      <c r="R35" s="79">
        <v>0.31323435901689201</v>
      </c>
      <c r="S35" s="79">
        <v>0.42703278494496388</v>
      </c>
      <c r="T35" s="79">
        <v>0.47323452484742806</v>
      </c>
    </row>
    <row r="36" spans="1:20" x14ac:dyDescent="0.3">
      <c r="A36" s="79" t="s">
        <v>275</v>
      </c>
      <c r="B36" s="79">
        <v>-0.21520724677463629</v>
      </c>
      <c r="C36" s="79">
        <v>0.15084504817564365</v>
      </c>
      <c r="D36" s="79">
        <v>0.28002426202992314</v>
      </c>
      <c r="E36" s="79">
        <v>-0.24832826747720366</v>
      </c>
      <c r="F36" s="79">
        <v>0.62029056882541245</v>
      </c>
      <c r="G36" s="79">
        <v>-1.0959571358986848E-2</v>
      </c>
      <c r="H36" s="79">
        <v>3.7917087967644085E-2</v>
      </c>
      <c r="I36" s="79">
        <v>-0.18516992790937178</v>
      </c>
      <c r="J36" s="79">
        <v>1.2772045028142589</v>
      </c>
      <c r="K36" s="79">
        <v>-9.2379736057896983E-2</v>
      </c>
      <c r="L36" s="79">
        <v>0.11274277593557555</v>
      </c>
      <c r="M36" s="79">
        <v>0.19671201814058956</v>
      </c>
      <c r="N36" s="79">
        <v>1.2300884955752212</v>
      </c>
      <c r="O36" s="79">
        <v>1.9329896907216496E-2</v>
      </c>
      <c r="P36" s="79">
        <v>-0.26165556612749763</v>
      </c>
      <c r="Q36" s="79">
        <v>1.3098901098901099</v>
      </c>
      <c r="R36" s="79">
        <v>-0.10609037328094302</v>
      </c>
      <c r="S36" s="79">
        <v>0.47109826589595377</v>
      </c>
      <c r="T36" s="79">
        <v>0.2814814814814815</v>
      </c>
    </row>
    <row r="37" spans="1:20" x14ac:dyDescent="0.3">
      <c r="A37" s="79" t="s">
        <v>276</v>
      </c>
      <c r="B37" s="79">
        <v>0.32893276214270689</v>
      </c>
      <c r="C37" s="79">
        <v>-5.9693251557224776E-2</v>
      </c>
      <c r="D37" s="79">
        <v>0.26318344802395743</v>
      </c>
      <c r="E37" s="79">
        <v>-0.17279276744584973</v>
      </c>
      <c r="F37" s="79">
        <v>3.2080590434590424E-3</v>
      </c>
      <c r="G37" s="79">
        <v>-0.23135238319687973</v>
      </c>
      <c r="H37" s="79">
        <v>-9.3747208465165474E-2</v>
      </c>
      <c r="I37" s="79">
        <v>-0.15843590542760705</v>
      </c>
      <c r="J37" s="79">
        <v>9.6010098000216038E-2</v>
      </c>
      <c r="K37" s="79">
        <v>0.13002252016521565</v>
      </c>
      <c r="L37" s="79">
        <v>0.13176946702213288</v>
      </c>
      <c r="M37" s="79">
        <v>-3.9024297620543609E-2</v>
      </c>
      <c r="N37" s="79">
        <v>5.5882047190226693E-2</v>
      </c>
      <c r="O37" s="79">
        <v>0.52548015962009986</v>
      </c>
      <c r="P37" s="79">
        <v>0.5774607052927424</v>
      </c>
      <c r="Q37" s="79">
        <v>0.48314906786633066</v>
      </c>
      <c r="R37" s="79">
        <v>0.40087055553169493</v>
      </c>
      <c r="S37" s="79">
        <v>0.50475764367423992</v>
      </c>
      <c r="T37" s="79">
        <v>0.42095378565788449</v>
      </c>
    </row>
    <row r="38" spans="1:20" x14ac:dyDescent="0.3">
      <c r="A38" s="79" t="s">
        <v>277</v>
      </c>
      <c r="B38" s="79">
        <v>-5.6123434599652272E-2</v>
      </c>
      <c r="C38" s="79">
        <v>-3.9304446058258696E-2</v>
      </c>
      <c r="D38" s="79">
        <v>-6.4538043478260865E-2</v>
      </c>
      <c r="E38" s="79">
        <v>-2.9606949795637334E-2</v>
      </c>
      <c r="F38" s="79">
        <v>0.11648865699471696</v>
      </c>
      <c r="G38" s="79">
        <v>0.1317111997556619</v>
      </c>
      <c r="H38" s="79">
        <v>-5.6217953757326418E-2</v>
      </c>
      <c r="I38" s="79">
        <v>-1.0347510373443983E-2</v>
      </c>
      <c r="J38" s="79">
        <v>0.3291662836657781</v>
      </c>
      <c r="K38" s="79">
        <v>0.35294117647058826</v>
      </c>
      <c r="L38" s="79">
        <v>0.82258110213911317</v>
      </c>
      <c r="M38" s="79">
        <v>1.0810731132075471</v>
      </c>
      <c r="N38" s="79">
        <v>0</v>
      </c>
      <c r="O38" s="79">
        <v>0</v>
      </c>
      <c r="P38" s="79">
        <v>0</v>
      </c>
      <c r="Q38" s="79">
        <v>0</v>
      </c>
      <c r="R38" s="79">
        <v>0</v>
      </c>
      <c r="S38" s="79">
        <v>0</v>
      </c>
      <c r="T38" s="79">
        <v>0</v>
      </c>
    </row>
    <row r="39" spans="1:20" x14ac:dyDescent="0.3">
      <c r="A39" s="79" t="s">
        <v>278</v>
      </c>
      <c r="B39" s="79">
        <v>0.10137073637233025</v>
      </c>
      <c r="C39" s="79">
        <v>4.8637807120173827E-2</v>
      </c>
      <c r="D39" s="79">
        <v>0.13957563521389663</v>
      </c>
      <c r="E39" s="79">
        <v>0.19791001186456147</v>
      </c>
      <c r="F39" s="79">
        <v>0.16862201365187712</v>
      </c>
      <c r="G39" s="79">
        <v>0.15631744465684158</v>
      </c>
      <c r="H39" s="79">
        <v>0.13915425681371171</v>
      </c>
      <c r="I39" s="79">
        <v>0.22925481391935065</v>
      </c>
      <c r="J39" s="79">
        <v>0.15291189646590345</v>
      </c>
      <c r="K39" s="79">
        <v>0.24519647948431883</v>
      </c>
      <c r="L39" s="79">
        <v>0.33537493792418471</v>
      </c>
      <c r="M39" s="79">
        <v>0.34994413407821229</v>
      </c>
      <c r="N39" s="79">
        <v>0.3235729074238391</v>
      </c>
      <c r="O39" s="79">
        <v>0.39193083573487031</v>
      </c>
      <c r="P39" s="79">
        <v>0.36307519640852975</v>
      </c>
      <c r="Q39" s="79">
        <v>0.33683420855213803</v>
      </c>
      <c r="R39" s="79">
        <v>0.20198376916140667</v>
      </c>
      <c r="S39" s="79">
        <v>0.41815856777493604</v>
      </c>
      <c r="T39" s="79">
        <v>9.8314606741573038E-2</v>
      </c>
    </row>
    <row r="40" spans="1:20" x14ac:dyDescent="0.3">
      <c r="A40" s="79" t="s">
        <v>279</v>
      </c>
      <c r="B40" s="79">
        <v>5.7631145342376518E-2</v>
      </c>
      <c r="C40" s="79">
        <v>4.6727097705759668E-2</v>
      </c>
      <c r="D40" s="79">
        <v>-6.4557264684785209E-3</v>
      </c>
      <c r="E40" s="79">
        <v>0.14203795567287125</v>
      </c>
      <c r="F40" s="79">
        <v>0.10328379192608958</v>
      </c>
      <c r="G40" s="79">
        <v>9.1586736092080026E-2</v>
      </c>
      <c r="H40" s="79">
        <v>9.2187967674349003E-2</v>
      </c>
      <c r="I40" s="79">
        <v>9.4620273900792876E-2</v>
      </c>
      <c r="J40" s="79">
        <v>7.5172608144286321E-2</v>
      </c>
      <c r="K40" s="79">
        <v>-9.421452997417824E-3</v>
      </c>
      <c r="L40" s="79">
        <v>0.19478028850162596</v>
      </c>
      <c r="M40" s="79">
        <v>0.10738688827331487</v>
      </c>
      <c r="N40" s="79">
        <v>7.8685258964143426E-2</v>
      </c>
      <c r="O40" s="79">
        <v>0.32122647716804842</v>
      </c>
      <c r="P40" s="79">
        <v>0.37737901033170201</v>
      </c>
      <c r="Q40" s="79">
        <v>0.32971800433839482</v>
      </c>
      <c r="R40" s="79">
        <v>0.10316405211379952</v>
      </c>
      <c r="S40" s="79">
        <v>0.26932163347958149</v>
      </c>
      <c r="T40" s="79">
        <v>0.21783806000822031</v>
      </c>
    </row>
  </sheetData>
  <mergeCells count="1">
    <mergeCell ref="B4:T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CHARTS</vt:lpstr>
      <vt:lpstr>FS</vt:lpstr>
      <vt:lpstr>DCF</vt:lpstr>
      <vt:lpstr>RATIOS</vt:lpstr>
      <vt:lpstr>Data</vt:lpstr>
      <vt:lpstr>AAPL - Income Statement FY</vt:lpstr>
      <vt:lpstr>AAPL - Balance Sheet FY</vt:lpstr>
      <vt:lpstr>AAPL - Cash Flow FY</vt:lpstr>
      <vt:lpstr>AAPL - Key Metrics FY</vt:lpstr>
      <vt:lpstr>AAPL - Financial Growth 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Dupuis</dc:creator>
  <cp:lastModifiedBy>T T Manjunath</cp:lastModifiedBy>
  <dcterms:created xsi:type="dcterms:W3CDTF">2022-12-16T04:55:27Z</dcterms:created>
  <dcterms:modified xsi:type="dcterms:W3CDTF">2026-07-16T03:44:54Z</dcterms:modified>
</cp:coreProperties>
</file>